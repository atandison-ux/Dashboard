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tand\Downloads\"/>
    </mc:Choice>
  </mc:AlternateContent>
  <xr:revisionPtr revIDLastSave="0" documentId="13_ncr:1_{67823140-67DC-49D6-9473-272613B595A0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1" i="3" l="1"/>
  <c r="D25" i="3"/>
  <c r="D12" i="3"/>
</calcChain>
</file>

<file path=xl/sharedStrings.xml><?xml version="1.0" encoding="utf-8"?>
<sst xmlns="http://schemas.openxmlformats.org/spreadsheetml/2006/main" count="2015" uniqueCount="317">
  <si>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</si>
  <si>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</si>
  <si>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</si>
  <si>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</si>
  <si>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</si>
  <si>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</si>
  <si>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</si>
  <si>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</si>
  <si>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</si>
  <si>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</si>
  <si>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</si>
  <si>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</si>
  <si>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</si>
  <si>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</si>
  <si>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</si>
  <si>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</si>
  <si>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</si>
  <si>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</si>
  <si>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</si>
  <si>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</si>
  <si>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</si>
  <si>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</si>
  <si>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</si>
  <si>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</si>
  <si>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</si>
  <si>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</si>
  <si>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</si>
  <si>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</si>
  <si>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</si>
  <si>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</si>
  <si>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</si>
  <si>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</si>
  <si>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</si>
  <si>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</si>
  <si>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</si>
  <si>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</si>
  <si>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</si>
  <si>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</si>
  <si>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</si>
  <si>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</si>
  <si>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</si>
  <si>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</si>
  <si>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</si>
  <si>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</si>
  <si>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</si>
  <si>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</si>
  <si>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</si>
  <si>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</si>
  <si>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</si>
  <si>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</si>
  <si>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</si>
  <si>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</si>
  <si>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</si>
  <si>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</si>
  <si>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</si>
  <si>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</si>
  <si>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</si>
  <si>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</si>
  <si>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</si>
  <si>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</si>
  <si>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</si>
  <si>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</si>
  <si>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</si>
  <si>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</si>
  <si>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</si>
  <si>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</si>
  <si>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</si>
  <si>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</si>
  <si>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</si>
  <si>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</si>
  <si>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</si>
  <si>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</si>
  <si>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</si>
  <si>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</si>
  <si>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</si>
  <si>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</si>
  <si>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</si>
  <si>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</si>
  <si>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</si>
  <si>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</si>
  <si>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</si>
  <si>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</si>
  <si>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</si>
  <si>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</si>
  <si>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</si>
  <si>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</si>
  <si>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</si>
  <si>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</si>
  <si>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</si>
  <si>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</si>
  <si>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</si>
  <si>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</si>
  <si>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</si>
  <si>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</si>
  <si>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</si>
  <si>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</si>
  <si>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</si>
  <si>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</si>
  <si>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</si>
  <si>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</si>
  <si>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</si>
  <si>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</si>
  <si>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</si>
  <si>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</si>
  <si>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</si>
  <si>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</si>
  <si>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</si>
  <si>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</si>
  <si>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</si>
  <si>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</si>
  <si>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</si>
  <si>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</si>
  <si>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</si>
  <si>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</si>
  <si>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</si>
  <si>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</si>
  <si>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</si>
  <si>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</si>
  <si>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</si>
  <si>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</si>
  <si>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</si>
  <si>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</si>
  <si>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</si>
  <si>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</si>
  <si>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</si>
  <si>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</si>
  <si>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</si>
  <si>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</si>
  <si>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</si>
  <si>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</si>
  <si>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</si>
  <si>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</si>
  <si>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</si>
  <si>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</si>
  <si>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</si>
  <si>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</si>
  <si>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</si>
  <si>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</si>
  <si>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</si>
  <si>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</si>
  <si>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</si>
  <si>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</si>
  <si>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</si>
  <si>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</si>
  <si>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</si>
  <si>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</si>
  <si>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</si>
  <si>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</si>
  <si>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</si>
  <si>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</si>
  <si>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</si>
  <si>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</si>
  <si>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</si>
  <si>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</si>
  <si>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</si>
  <si>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</si>
  <si>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</si>
  <si>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</si>
  <si>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</si>
  <si>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</si>
  <si>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</si>
  <si>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</si>
  <si>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</si>
  <si>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</si>
  <si>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</si>
  <si>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</si>
  <si>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</si>
  <si>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</si>
  <si>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</si>
  <si>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</si>
  <si>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</si>
  <si>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</si>
  <si>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</si>
  <si>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</si>
  <si>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</si>
  <si>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</si>
  <si>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</si>
  <si>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</si>
  <si>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</si>
  <si>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</si>
  <si>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</si>
  <si>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</si>
  <si>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</si>
  <si>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</si>
  <si>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</si>
  <si>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</si>
  <si>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</si>
  <si>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</si>
  <si>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</si>
  <si>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</si>
  <si>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</si>
  <si>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</si>
  <si>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</si>
  <si>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</si>
  <si>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</si>
  <si>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</si>
  <si>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</si>
  <si>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</si>
  <si>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</si>
  <si>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</si>
  <si>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</si>
  <si>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</si>
  <si>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</si>
  <si>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</si>
  <si>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</si>
  <si>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</si>
  <si>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</si>
  <si>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</si>
  <si>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</si>
  <si>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</si>
  <si>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</si>
  <si>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</si>
  <si>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</si>
  <si>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</si>
  <si>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</si>
  <si>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</si>
  <si>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</si>
  <si>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</si>
  <si>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</si>
  <si>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</si>
  <si>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</si>
  <si>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</si>
  <si>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</si>
  <si>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</si>
  <si>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</si>
  <si>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</si>
  <si>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</si>
  <si>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</si>
  <si>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</si>
  <si>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</si>
  <si>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</si>
  <si>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</si>
  <si>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</si>
  <si>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</si>
  <si>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</si>
  <si>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</si>
  <si>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</si>
  <si>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</si>
  <si>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</si>
  <si>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</si>
  <si>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</si>
  <si>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</si>
  <si>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</si>
  <si>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</si>
  <si>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</si>
  <si>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</si>
  <si>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</si>
  <si>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</si>
  <si>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</si>
  <si>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</si>
  <si>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</si>
  <si>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</si>
  <si>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</si>
  <si>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</si>
  <si>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</si>
  <si>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</si>
  <si>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</si>
  <si>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</si>
  <si>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</si>
  <si>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</si>
  <si>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</si>
  <si>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</si>
  <si>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</si>
  <si>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</si>
  <si>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</si>
  <si>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</si>
  <si>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</si>
  <si>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</si>
  <si>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</si>
  <si>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</si>
  <si>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</si>
  <si>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</si>
  <si>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</si>
  <si>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</si>
  <si>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</si>
  <si>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</si>
  <si>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</si>
  <si>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</si>
  <si>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</si>
  <si>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</si>
  <si>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</si>
  <si>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</si>
  <si>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</si>
  <si>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</si>
  <si>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</si>
  <si>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</si>
  <si>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</si>
  <si>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</si>
  <si>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</si>
  <si>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</si>
  <si>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</si>
  <si>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</si>
  <si>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</si>
  <si>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</si>
  <si>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</si>
  <si>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</si>
  <si>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</si>
  <si>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</si>
  <si>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</si>
  <si>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</si>
  <si>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</si>
  <si>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</si>
  <si>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</si>
  <si>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</si>
  <si>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</si>
  <si>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</si>
  <si>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</si>
  <si>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</si>
  <si>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</si>
  <si>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</si>
  <si>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</si>
  <si>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</si>
  <si>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</si>
  <si>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</si>
  <si>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</si>
  <si>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</si>
  <si>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 xml:space="preserve">                         Xbox Game Pass Subscriptions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</si>
</sst>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0" fontId="0" fillId="0" borderId="0" xfId="0" applyNumberFormat="1"/>
    <xf numFmtId="0" fontId="4" fillId="4" borderId="0" xfId="0" applyFon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21"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8000"/>
      <color rgb="FF22C55E"/>
      <color rgb="FF9BC848"/>
      <color rgb="FFE8E6E9"/>
      <color rgb="FF2AE6B1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Revenue By Plan </a:t>
            </a:r>
          </a:p>
        </c:rich>
      </c:tx>
      <c:layout>
        <c:manualLayout>
          <c:xMode val="edge"/>
          <c:yMode val="edge"/>
          <c:x val="0.26624375339175077"/>
          <c:y val="4.9718287250400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rgbClr val="9BC848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BC848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rgbClr val="2AE6B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BC848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rgbClr val="2AE6B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9BC848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4A-4A1B-BE45-1C879B34AEB7}"/>
              </c:ext>
            </c:extLst>
          </c:dPt>
          <c:dPt>
            <c:idx val="1"/>
            <c:bubble3D val="0"/>
            <c:spPr>
              <a:solidFill>
                <a:srgbClr val="2AE6B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4A-4A1B-BE45-1C879B34AEB7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4A-4A1B-BE45-1C879B34AEB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C̳álculos!$B$9:$B$12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C̳álculos!$C$9:$C$12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4A-4A1B-BE45-1C879B34AEB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solidFill>
            <a:srgbClr val="E8E6E9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dinâmica2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Auto-Renovação vs Não Auto-Renovação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all" spc="12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0.3444691639459973"/>
              <c:y val="-1.4184401689491519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173718583439541"/>
                  <c:h val="4.4518917428592944E-2"/>
                </c:manualLayout>
              </c15:layout>
            </c:ext>
          </c:extLst>
        </c:dLbl>
      </c:pivotFmt>
      <c:pivotFmt>
        <c:idx val="8"/>
        <c:dLbl>
          <c:idx val="0"/>
          <c:layout>
            <c:manualLayout>
              <c:x val="0.17197615794723664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7.4592068507235196E-2"/>
              <c:y val="8.4121976866455596E-3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5579272580371336E-3"/>
              <c:y val="-8.1053723939951312E-3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1158545160742671E-3"/>
              <c:y val="-8.1053723939951312E-3"/>
            </c:manualLayout>
          </c:layout>
          <c:tx>
            <c:rich>
              <a:bodyPr/>
              <a:lstStyle/>
              <a:p>
                <a:fld id="{147DA0BC-6E5D-41F0-890B-0844C2479CD5}" type="VALUE">
                  <a:rPr lang="en-US">
                    <a:solidFill>
                      <a:schemeClr val="bg1"/>
                    </a:solidFill>
                  </a:rPr>
                  <a:pPr/>
                  <a:t>[VALOR]</a:t>
                </a:fld>
                <a:endParaRPr lang="pt-BR"/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4.0916233505365183E-2"/>
              <c:y val="-6.079029295496423E-3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9270619309067314E-2"/>
                  <c:h val="5.2624289822588079E-2"/>
                </c:manualLayout>
              </c15:layout>
            </c:ext>
          </c:extLst>
        </c:dLbl>
      </c:pivotFmt>
      <c:pivotFmt>
        <c:idx val="2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5.1589945241538371E-2"/>
              <c:y val="8.1053723939951312E-3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008000"/>
          </a:solidFill>
          <a:ln>
            <a:noFill/>
          </a:ln>
          <a:effectLst/>
        </c:spPr>
        <c:dLbl>
          <c:idx val="0"/>
          <c:layout>
            <c:manualLayout>
              <c:x val="0.19568599919204221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9BC848"/>
          </a:solidFill>
          <a:ln>
            <a:noFill/>
          </a:ln>
          <a:effectLst/>
        </c:spPr>
        <c:dLbl>
          <c:idx val="0"/>
          <c:layout>
            <c:manualLayout>
              <c:x val="0.2063597809661536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008000"/>
          </a:solidFill>
          <a:ln>
            <a:noFill/>
          </a:ln>
          <a:effectLst/>
        </c:spPr>
        <c:dLbl>
          <c:idx val="0"/>
          <c:layout>
            <c:manualLayout>
              <c:x val="0.36112961669076904"/>
              <c:y val="-1.4859677728725928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0.19568599919204235"/>
              <c:y val="-7.429838864362963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2"/>
        <c:spPr>
          <a:solidFill>
            <a:srgbClr val="008000"/>
          </a:solidFill>
          <a:ln>
            <a:noFill/>
          </a:ln>
          <a:effectLst/>
        </c:spPr>
        <c:dLbl>
          <c:idx val="0"/>
          <c:layout>
            <c:manualLayout>
              <c:x val="0.36112961669076904"/>
              <c:y val="-1.4859677728725928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3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0.19568599919204235"/>
              <c:y val="-7.429838864362963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5"/>
        <c:spPr>
          <a:solidFill>
            <a:srgbClr val="008000"/>
          </a:solidFill>
          <a:ln>
            <a:noFill/>
          </a:ln>
          <a:effectLst/>
        </c:spPr>
        <c:dLbl>
          <c:idx val="0"/>
          <c:layout>
            <c:manualLayout>
              <c:x val="0.36112961669076904"/>
              <c:y val="-1.4859677728725928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6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0.19568599919204235"/>
              <c:y val="-7.429838864362963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8"/>
        <c:spPr>
          <a:solidFill>
            <a:srgbClr val="008000"/>
          </a:solidFill>
          <a:ln>
            <a:noFill/>
          </a:ln>
          <a:effectLst/>
        </c:spPr>
        <c:dLbl>
          <c:idx val="0"/>
          <c:layout>
            <c:manualLayout>
              <c:x val="0.36112961669076904"/>
              <c:y val="-1.4859677728725928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9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0.19568599919204235"/>
              <c:y val="-7.429838864362963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1"/>
        <c:spPr>
          <a:solidFill>
            <a:srgbClr val="008000"/>
          </a:solidFill>
          <a:ln>
            <a:noFill/>
          </a:ln>
          <a:effectLst/>
        </c:spPr>
        <c:dLbl>
          <c:idx val="0"/>
          <c:layout>
            <c:manualLayout>
              <c:x val="0.36112961669076904"/>
              <c:y val="-1.4859677728725928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2"/>
        <c:dLbl>
          <c:idx val="0"/>
          <c:layout>
            <c:manualLayout>
              <c:x val="0.19568599919204235"/>
              <c:y val="-7.429838864362963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996093563961731"/>
          <c:y val="0.24198876480506898"/>
          <c:w val="0.69319699094605569"/>
          <c:h val="0.6462496378111154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C̳álculos!$C$17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C̳álculos!$B$18:$B$20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C̳álculos!$C$18:$C$20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6-43BD-829E-6A3FCE142E1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846053759"/>
        <c:axId val="1846054591"/>
      </c:barChart>
      <c:catAx>
        <c:axId val="184605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1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6054591"/>
        <c:crosses val="autoZero"/>
        <c:auto val="1"/>
        <c:lblAlgn val="ctr"/>
        <c:lblOffset val="100"/>
        <c:tickLblSkip val="1"/>
        <c:noMultiLvlLbl val="0"/>
      </c:catAx>
      <c:valAx>
        <c:axId val="184605459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4605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8000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chart" Target="../charts/chart2.xml"/><Relationship Id="rId7" Type="http://schemas.openxmlformats.org/officeDocument/2006/relationships/image" Target="../media/image9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202406</xdr:colOff>
      <xdr:row>0</xdr:row>
      <xdr:rowOff>10914</xdr:rowOff>
    </xdr:from>
    <xdr:to>
      <xdr:col>5</xdr:col>
      <xdr:colOff>214313</xdr:colOff>
      <xdr:row>2</xdr:row>
      <xdr:rowOff>7935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0BCE40-428E-4574-B25E-3FAA30C3F3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5" t="1" r="71897" b="19253"/>
        <a:stretch/>
      </xdr:blipFill>
      <xdr:spPr>
        <a:xfrm>
          <a:off x="3381375" y="10914"/>
          <a:ext cx="702469" cy="64392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20100</xdr:rowOff>
    </xdr:from>
    <xdr:to>
      <xdr:col>8</xdr:col>
      <xdr:colOff>626269</xdr:colOff>
      <xdr:row>27</xdr:row>
      <xdr:rowOff>106166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AF195999-B694-4BAA-8EF5-4DA8464F30C1}"/>
            </a:ext>
          </a:extLst>
        </xdr:cNvPr>
        <xdr:cNvGrpSpPr/>
      </xdr:nvGrpSpPr>
      <xdr:grpSpPr>
        <a:xfrm>
          <a:off x="0" y="1158152"/>
          <a:ext cx="6502081" cy="4217689"/>
          <a:chOff x="1511813" y="1701652"/>
          <a:chExt cx="5226843" cy="3167062"/>
        </a:xfrm>
        <a:solidFill>
          <a:srgbClr val="008000"/>
        </a:solidFill>
      </xdr:grpSpPr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2AA8A634-2641-473A-8A38-254DD86673FA}"/>
              </a:ext>
            </a:extLst>
          </xdr:cNvPr>
          <xdr:cNvSpPr/>
        </xdr:nvSpPr>
        <xdr:spPr>
          <a:xfrm>
            <a:off x="1511813" y="1701652"/>
            <a:ext cx="5226843" cy="3167062"/>
          </a:xfrm>
          <a:prstGeom prst="roundRect">
            <a:avLst>
              <a:gd name="adj" fmla="val 40611"/>
            </a:avLst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C7172638-9146-483D-B4A2-2BA54FC6E434}"/>
              </a:ext>
            </a:extLst>
          </xdr:cNvPr>
          <xdr:cNvGraphicFramePr>
            <a:graphicFrameLocks/>
          </xdr:cNvGraphicFramePr>
        </xdr:nvGraphicFramePr>
        <xdr:xfrm>
          <a:off x="1797844" y="190500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oneCellAnchor>
    <xdr:from>
      <xdr:col>18</xdr:col>
      <xdr:colOff>470662</xdr:colOff>
      <xdr:row>8</xdr:row>
      <xdr:rowOff>0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7EEB98DF-8CF9-44FC-A6BA-FD6BE9707F34}"/>
            </a:ext>
          </a:extLst>
        </xdr:cNvPr>
        <xdr:cNvSpPr txBox="1"/>
      </xdr:nvSpPr>
      <xdr:spPr>
        <a:xfrm>
          <a:off x="13127006" y="1726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5</xdr:col>
      <xdr:colOff>252413</xdr:colOff>
      <xdr:row>11</xdr:row>
      <xdr:rowOff>114300</xdr:rowOff>
    </xdr:from>
    <xdr:to>
      <xdr:col>8</xdr:col>
      <xdr:colOff>26193</xdr:colOff>
      <xdr:row>15</xdr:row>
      <xdr:rowOff>16668</xdr:rowOff>
    </xdr:to>
    <xdr:sp macro="" textlink="C̳álculos!D12">
      <xdr:nvSpPr>
        <xdr:cNvPr id="6" name="Retângulo: Cantos Arredondados 5">
          <a:extLst>
            <a:ext uri="{FF2B5EF4-FFF2-40B4-BE49-F238E27FC236}">
              <a16:creationId xmlns:a16="http://schemas.microsoft.com/office/drawing/2014/main" id="{5FA6AE78-379B-4521-8325-C2CBE3810348}"/>
            </a:ext>
          </a:extLst>
        </xdr:cNvPr>
        <xdr:cNvSpPr/>
      </xdr:nvSpPr>
      <xdr:spPr>
        <a:xfrm>
          <a:off x="4110038" y="2390775"/>
          <a:ext cx="1831180" cy="626268"/>
        </a:xfrm>
        <a:prstGeom prst="roundRect">
          <a:avLst>
            <a:gd name="adj" fmla="val 8975"/>
          </a:avLst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6A771E4-815D-4E5E-901B-8CA26BE064D9}" type="TxLink">
            <a:rPr lang="en-US" sz="24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R$ 7.633,00</a:t>
          </a:fld>
          <a:endParaRPr lang="pt-BR" sz="24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10</xdr:col>
      <xdr:colOff>95250</xdr:colOff>
      <xdr:row>6</xdr:row>
      <xdr:rowOff>261937</xdr:rowOff>
    </xdr:from>
    <xdr:to>
      <xdr:col>22</xdr:col>
      <xdr:colOff>488155</xdr:colOff>
      <xdr:row>28</xdr:row>
      <xdr:rowOff>119063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A6CD2284-8863-437B-B3FF-F3341C90D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296883</xdr:colOff>
      <xdr:row>30</xdr:row>
      <xdr:rowOff>136071</xdr:rowOff>
    </xdr:from>
    <xdr:to>
      <xdr:col>9</xdr:col>
      <xdr:colOff>98961</xdr:colOff>
      <xdr:row>44</xdr:row>
      <xdr:rowOff>123701</xdr:rowOff>
    </xdr:to>
    <xdr:sp macro="" textlink="C̳álculos!D25">
      <xdr:nvSpPr>
        <xdr:cNvPr id="7" name="Retângulo 6">
          <a:extLst>
            <a:ext uri="{FF2B5EF4-FFF2-40B4-BE49-F238E27FC236}">
              <a16:creationId xmlns:a16="http://schemas.microsoft.com/office/drawing/2014/main" id="{9B57760A-03AE-47CE-822F-C38D408E4D1D}"/>
            </a:ext>
          </a:extLst>
        </xdr:cNvPr>
        <xdr:cNvSpPr/>
      </xdr:nvSpPr>
      <xdr:spPr>
        <a:xfrm>
          <a:off x="296883" y="5962402"/>
          <a:ext cx="6358247" cy="2585357"/>
        </a:xfrm>
        <a:prstGeom prst="rect">
          <a:avLst/>
        </a:prstGeom>
        <a:solidFill>
          <a:srgbClr val="008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3E9CC1E-5F76-4DC7-A50F-BB35614D0F05}" type="TxLink">
            <a:rPr lang="en-US" sz="3200" b="0" i="0" u="none" strike="noStrike">
              <a:solidFill>
                <a:schemeClr val="bg1"/>
              </a:solidFill>
              <a:latin typeface="Aptos Narrow"/>
            </a:rPr>
            <a:pPr algn="ctr"/>
            <a:t>R$ 5.388,00</a:t>
          </a:fld>
          <a:endParaRPr lang="pt-BR" sz="32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811574</xdr:colOff>
      <xdr:row>31</xdr:row>
      <xdr:rowOff>140432</xdr:rowOff>
    </xdr:from>
    <xdr:to>
      <xdr:col>8</xdr:col>
      <xdr:colOff>19298</xdr:colOff>
      <xdr:row>35</xdr:row>
      <xdr:rowOff>68995</xdr:rowOff>
    </xdr:to>
    <xdr:sp macro="" textlink="C̳álculos!D24">
      <xdr:nvSpPr>
        <xdr:cNvPr id="8" name="Retângulo 7">
          <a:extLst>
            <a:ext uri="{FF2B5EF4-FFF2-40B4-BE49-F238E27FC236}">
              <a16:creationId xmlns:a16="http://schemas.microsoft.com/office/drawing/2014/main" id="{E66ABCAF-FB07-4D8E-9F33-097FC16B045B}"/>
            </a:ext>
          </a:extLst>
        </xdr:cNvPr>
        <xdr:cNvSpPr/>
      </xdr:nvSpPr>
      <xdr:spPr>
        <a:xfrm>
          <a:off x="811574" y="6152315"/>
          <a:ext cx="5083536" cy="6707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57540DF-1581-48E7-B522-5B9F3A36FFC2}" type="TxLink">
            <a:rPr lang="en-US" sz="3200" b="0" i="0" u="none" strike="noStrike">
              <a:solidFill>
                <a:schemeClr val="bg1"/>
              </a:solidFill>
              <a:latin typeface="Aptos Narrow"/>
            </a:rPr>
            <a:pPr algn="ctr"/>
            <a:t>EA Play Season Pass</a:t>
          </a:fld>
          <a:endParaRPr lang="pt-BR" sz="32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7</xdr:col>
      <xdr:colOff>62682</xdr:colOff>
      <xdr:row>40</xdr:row>
      <xdr:rowOff>13794</xdr:rowOff>
    </xdr:from>
    <xdr:to>
      <xdr:col>8</xdr:col>
      <xdr:colOff>223495</xdr:colOff>
      <xdr:row>44</xdr:row>
      <xdr:rowOff>152409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DE315F26-3692-4C58-AB6A-7C0EC75F2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8137" y="7695645"/>
          <a:ext cx="841170" cy="880822"/>
        </a:xfrm>
        <a:prstGeom prst="rect">
          <a:avLst/>
        </a:prstGeom>
      </xdr:spPr>
    </xdr:pic>
    <xdr:clientData/>
  </xdr:twoCellAnchor>
  <xdr:twoCellAnchor editAs="absolute">
    <xdr:from>
      <xdr:col>5</xdr:col>
      <xdr:colOff>96611</xdr:colOff>
      <xdr:row>39</xdr:row>
      <xdr:rowOff>162730</xdr:rowOff>
    </xdr:from>
    <xdr:to>
      <xdr:col>6</xdr:col>
      <xdr:colOff>543566</xdr:colOff>
      <xdr:row>45</xdr:row>
      <xdr:rowOff>50997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BA77C419-6A5D-48BD-9029-674C9FD91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1351" y="7659029"/>
          <a:ext cx="1127312" cy="1001578"/>
        </a:xfrm>
        <a:prstGeom prst="rect">
          <a:avLst/>
        </a:prstGeom>
      </xdr:spPr>
    </xdr:pic>
    <xdr:clientData/>
  </xdr:twoCellAnchor>
  <xdr:twoCellAnchor>
    <xdr:from>
      <xdr:col>11</xdr:col>
      <xdr:colOff>30925</xdr:colOff>
      <xdr:row>31</xdr:row>
      <xdr:rowOff>71901</xdr:rowOff>
    </xdr:from>
    <xdr:to>
      <xdr:col>20</xdr:col>
      <xdr:colOff>389813</xdr:colOff>
      <xdr:row>45</xdr:row>
      <xdr:rowOff>59995</xdr:rowOff>
    </xdr:to>
    <xdr:sp macro="" textlink="C̳álculos!D31">
      <xdr:nvSpPr>
        <xdr:cNvPr id="16" name="Retângulo 15">
          <a:extLst>
            <a:ext uri="{FF2B5EF4-FFF2-40B4-BE49-F238E27FC236}">
              <a16:creationId xmlns:a16="http://schemas.microsoft.com/office/drawing/2014/main" id="{CD851AB9-1B0D-47E9-974A-02F9C3AF8FCD}"/>
            </a:ext>
          </a:extLst>
        </xdr:cNvPr>
        <xdr:cNvSpPr/>
      </xdr:nvSpPr>
      <xdr:spPr>
        <a:xfrm>
          <a:off x="7947808" y="6083784"/>
          <a:ext cx="6308921" cy="2585821"/>
        </a:xfrm>
        <a:prstGeom prst="rect">
          <a:avLst/>
        </a:prstGeom>
        <a:solidFill>
          <a:srgbClr val="008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F74C54A0-5CB0-4E17-945F-B1319ED3A96C}" type="TxLink">
            <a:rPr lang="en-US" sz="32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R$ 7.189,00</a:t>
          </a:fld>
          <a:endParaRPr lang="pt-BR" sz="32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440532</xdr:colOff>
      <xdr:row>32</xdr:row>
      <xdr:rowOff>71438</xdr:rowOff>
    </xdr:from>
    <xdr:to>
      <xdr:col>19</xdr:col>
      <xdr:colOff>250032</xdr:colOff>
      <xdr:row>36</xdr:row>
      <xdr:rowOff>1</xdr:rowOff>
    </xdr:to>
    <xdr:sp macro="" textlink="C̳álculos!D29">
      <xdr:nvSpPr>
        <xdr:cNvPr id="17" name="Retângulo 16">
          <a:extLst>
            <a:ext uri="{FF2B5EF4-FFF2-40B4-BE49-F238E27FC236}">
              <a16:creationId xmlns:a16="http://schemas.microsoft.com/office/drawing/2014/main" id="{18A815E3-0E59-4D10-AD9D-12D488760E92}"/>
            </a:ext>
          </a:extLst>
        </xdr:cNvPr>
        <xdr:cNvSpPr/>
      </xdr:nvSpPr>
      <xdr:spPr>
        <a:xfrm>
          <a:off x="8453438" y="6084094"/>
          <a:ext cx="5143500" cy="642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0800E75-B6DB-4CFC-91E1-0D93DFD1F8E1}" type="TxLink">
            <a:rPr lang="en-US" sz="32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Minecraft Season Pass</a:t>
          </a:fld>
          <a:endParaRPr lang="pt-BR" sz="32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absolute">
    <xdr:from>
      <xdr:col>17</xdr:col>
      <xdr:colOff>226218</xdr:colOff>
      <xdr:row>39</xdr:row>
      <xdr:rowOff>59530</xdr:rowOff>
    </xdr:from>
    <xdr:to>
      <xdr:col>19</xdr:col>
      <xdr:colOff>476249</xdr:colOff>
      <xdr:row>42</xdr:row>
      <xdr:rowOff>95250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316D655D-2312-48E8-8421-A9BA4E83CF1D}"/>
            </a:ext>
          </a:extLst>
        </xdr:cNvPr>
        <xdr:cNvGrpSpPr/>
      </xdr:nvGrpSpPr>
      <xdr:grpSpPr>
        <a:xfrm>
          <a:off x="12052062" y="7555829"/>
          <a:ext cx="1610745" cy="592376"/>
          <a:chOff x="3495675" y="5400674"/>
          <a:chExt cx="1549476" cy="752476"/>
        </a:xfrm>
      </xdr:grpSpPr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D9000407-5FD1-44BD-B293-A7CCD1933A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0" name="Gráfico 19">
            <a:extLst>
              <a:ext uri="{FF2B5EF4-FFF2-40B4-BE49-F238E27FC236}">
                <a16:creationId xmlns:a16="http://schemas.microsoft.com/office/drawing/2014/main" id="{2C628F70-3E55-4609-8462-F50881F8E2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andison montes de souza" refreshedDate="46032.889423379631" createdVersion="7" refreshedVersion="7" minRefreshableVersion="3" recordCount="295" xr:uid="{5E8B5C37-AB8F-4FD1-A2EA-6479DFE281CE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Meses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588690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x v="0"/>
    <x v="0"/>
    <x v="0"/>
    <n v="20"/>
    <n v="5"/>
    <x v="0"/>
  </r>
  <r>
    <n v="3232"/>
    <s v="Maria Oliveira"/>
    <x v="1"/>
    <x v="1"/>
    <x v="1"/>
    <n v="5"/>
    <x v="1"/>
    <x v="1"/>
    <x v="1"/>
    <x v="1"/>
    <n v="0"/>
    <n v="0"/>
    <x v="1"/>
  </r>
  <r>
    <n v="3233"/>
    <s v="Lucas Fernandes"/>
    <x v="2"/>
    <x v="2"/>
    <x v="0"/>
    <n v="10"/>
    <x v="2"/>
    <x v="1"/>
    <x v="1"/>
    <x v="0"/>
    <n v="20"/>
    <n v="10"/>
    <x v="2"/>
  </r>
  <r>
    <n v="3234"/>
    <s v="Ana Souza"/>
    <x v="0"/>
    <x v="3"/>
    <x v="1"/>
    <n v="15"/>
    <x v="0"/>
    <x v="0"/>
    <x v="0"/>
    <x v="0"/>
    <n v="20"/>
    <n v="3"/>
    <x v="3"/>
  </r>
  <r>
    <n v="3235"/>
    <s v="Pedro Gonçalves"/>
    <x v="1"/>
    <x v="4"/>
    <x v="0"/>
    <n v="5"/>
    <x v="0"/>
    <x v="1"/>
    <x v="1"/>
    <x v="1"/>
    <n v="0"/>
    <n v="1"/>
    <x v="4"/>
  </r>
  <r>
    <n v="3236"/>
    <s v="Felipe Costa"/>
    <x v="2"/>
    <x v="5"/>
    <x v="1"/>
    <n v="10"/>
    <x v="0"/>
    <x v="1"/>
    <x v="1"/>
    <x v="0"/>
    <n v="20"/>
    <n v="2"/>
    <x v="5"/>
  </r>
  <r>
    <n v="3237"/>
    <s v="Camila Ribeiro"/>
    <x v="0"/>
    <x v="6"/>
    <x v="0"/>
    <n v="15"/>
    <x v="2"/>
    <x v="0"/>
    <x v="0"/>
    <x v="0"/>
    <n v="20"/>
    <n v="10"/>
    <x v="6"/>
  </r>
  <r>
    <n v="3238"/>
    <s v="André Mendes"/>
    <x v="1"/>
    <x v="7"/>
    <x v="0"/>
    <n v="5"/>
    <x v="1"/>
    <x v="1"/>
    <x v="1"/>
    <x v="1"/>
    <n v="0"/>
    <n v="0"/>
    <x v="1"/>
  </r>
  <r>
    <n v="3239"/>
    <s v="Sofia Almeida"/>
    <x v="0"/>
    <x v="4"/>
    <x v="1"/>
    <n v="15"/>
    <x v="0"/>
    <x v="0"/>
    <x v="0"/>
    <x v="0"/>
    <n v="20"/>
    <n v="5"/>
    <x v="0"/>
  </r>
  <r>
    <n v="3240"/>
    <s v="Bruno Martins"/>
    <x v="2"/>
    <x v="8"/>
    <x v="0"/>
    <n v="10"/>
    <x v="2"/>
    <x v="1"/>
    <x v="1"/>
    <x v="0"/>
    <n v="20"/>
    <n v="15"/>
    <x v="7"/>
  </r>
  <r>
    <n v="3241"/>
    <s v="Rita Castro"/>
    <x v="1"/>
    <x v="9"/>
    <x v="1"/>
    <n v="5"/>
    <x v="0"/>
    <x v="1"/>
    <x v="1"/>
    <x v="1"/>
    <n v="0"/>
    <n v="1"/>
    <x v="4"/>
  </r>
  <r>
    <n v="3242"/>
    <s v="Marco Túlio"/>
    <x v="0"/>
    <x v="10"/>
    <x v="0"/>
    <n v="15"/>
    <x v="1"/>
    <x v="0"/>
    <x v="0"/>
    <x v="0"/>
    <n v="20"/>
    <n v="20"/>
    <x v="8"/>
  </r>
  <r>
    <n v="3243"/>
    <s v="Lívia Silveira"/>
    <x v="2"/>
    <x v="11"/>
    <x v="1"/>
    <n v="10"/>
    <x v="0"/>
    <x v="1"/>
    <x v="1"/>
    <x v="0"/>
    <n v="20"/>
    <n v="10"/>
    <x v="2"/>
  </r>
  <r>
    <n v="3244"/>
    <s v="Diogo Sousa"/>
    <x v="1"/>
    <x v="12"/>
    <x v="0"/>
    <n v="5"/>
    <x v="2"/>
    <x v="1"/>
    <x v="1"/>
    <x v="1"/>
    <n v="0"/>
    <n v="0"/>
    <x v="1"/>
  </r>
  <r>
    <n v="3245"/>
    <s v="Fernanda Lima"/>
    <x v="0"/>
    <x v="13"/>
    <x v="1"/>
    <n v="15"/>
    <x v="0"/>
    <x v="0"/>
    <x v="0"/>
    <x v="0"/>
    <n v="20"/>
    <n v="8"/>
    <x v="9"/>
  </r>
  <r>
    <n v="3246"/>
    <s v="Caio Pereira"/>
    <x v="2"/>
    <x v="14"/>
    <x v="0"/>
    <n v="10"/>
    <x v="1"/>
    <x v="1"/>
    <x v="1"/>
    <x v="0"/>
    <n v="20"/>
    <n v="12"/>
    <x v="10"/>
  </r>
  <r>
    <n v="3247"/>
    <s v="Beatriz Gomes"/>
    <x v="1"/>
    <x v="15"/>
    <x v="1"/>
    <n v="5"/>
    <x v="0"/>
    <x v="1"/>
    <x v="1"/>
    <x v="1"/>
    <n v="0"/>
    <n v="2"/>
    <x v="11"/>
  </r>
  <r>
    <n v="3248"/>
    <s v="Cesar Oliveira"/>
    <x v="0"/>
    <x v="16"/>
    <x v="0"/>
    <n v="15"/>
    <x v="2"/>
    <x v="0"/>
    <x v="0"/>
    <x v="0"/>
    <n v="20"/>
    <n v="7"/>
    <x v="12"/>
  </r>
  <r>
    <n v="3249"/>
    <s v="Débora Machado"/>
    <x v="2"/>
    <x v="17"/>
    <x v="1"/>
    <n v="10"/>
    <x v="0"/>
    <x v="1"/>
    <x v="1"/>
    <x v="0"/>
    <n v="20"/>
    <n v="5"/>
    <x v="13"/>
  </r>
  <r>
    <n v="3250"/>
    <s v="Eduardo Vargas"/>
    <x v="1"/>
    <x v="18"/>
    <x v="0"/>
    <n v="5"/>
    <x v="1"/>
    <x v="1"/>
    <x v="1"/>
    <x v="1"/>
    <n v="0"/>
    <n v="0"/>
    <x v="1"/>
  </r>
  <r>
    <n v="3251"/>
    <s v="Gabriela Santos"/>
    <x v="0"/>
    <x v="19"/>
    <x v="1"/>
    <n v="15"/>
    <x v="0"/>
    <x v="0"/>
    <x v="0"/>
    <x v="0"/>
    <n v="20"/>
    <n v="3"/>
    <x v="3"/>
  </r>
  <r>
    <n v="3252"/>
    <s v="Henrique Dias"/>
    <x v="2"/>
    <x v="20"/>
    <x v="0"/>
    <n v="10"/>
    <x v="2"/>
    <x v="1"/>
    <x v="1"/>
    <x v="0"/>
    <n v="20"/>
    <n v="15"/>
    <x v="7"/>
  </r>
  <r>
    <n v="3253"/>
    <s v="Isabela Moreira"/>
    <x v="1"/>
    <x v="21"/>
    <x v="1"/>
    <n v="5"/>
    <x v="0"/>
    <x v="1"/>
    <x v="1"/>
    <x v="1"/>
    <n v="0"/>
    <n v="1"/>
    <x v="4"/>
  </r>
  <r>
    <n v="3254"/>
    <s v="Joaquim Barbosa"/>
    <x v="0"/>
    <x v="22"/>
    <x v="0"/>
    <n v="15"/>
    <x v="1"/>
    <x v="0"/>
    <x v="0"/>
    <x v="0"/>
    <n v="20"/>
    <n v="20"/>
    <x v="8"/>
  </r>
  <r>
    <n v="3255"/>
    <s v="Lara Rocha"/>
    <x v="2"/>
    <x v="23"/>
    <x v="1"/>
    <n v="10"/>
    <x v="0"/>
    <x v="1"/>
    <x v="1"/>
    <x v="0"/>
    <n v="20"/>
    <n v="10"/>
    <x v="2"/>
  </r>
  <r>
    <n v="3256"/>
    <s v="Matheus Silva"/>
    <x v="1"/>
    <x v="24"/>
    <x v="0"/>
    <n v="5"/>
    <x v="2"/>
    <x v="1"/>
    <x v="1"/>
    <x v="1"/>
    <n v="0"/>
    <n v="0"/>
    <x v="1"/>
  </r>
  <r>
    <n v="3257"/>
    <s v="Nicole Costa"/>
    <x v="0"/>
    <x v="25"/>
    <x v="1"/>
    <n v="15"/>
    <x v="0"/>
    <x v="0"/>
    <x v="0"/>
    <x v="0"/>
    <n v="20"/>
    <n v="5"/>
    <x v="0"/>
  </r>
  <r>
    <n v="3258"/>
    <s v="Otávio Mendonça"/>
    <x v="2"/>
    <x v="26"/>
    <x v="0"/>
    <n v="10"/>
    <x v="1"/>
    <x v="1"/>
    <x v="1"/>
    <x v="0"/>
    <n v="20"/>
    <n v="15"/>
    <x v="7"/>
  </r>
  <r>
    <n v="3259"/>
    <s v="Paula Ferreira"/>
    <x v="1"/>
    <x v="27"/>
    <x v="1"/>
    <n v="5"/>
    <x v="0"/>
    <x v="1"/>
    <x v="1"/>
    <x v="1"/>
    <n v="0"/>
    <n v="1"/>
    <x v="4"/>
  </r>
  <r>
    <n v="3260"/>
    <s v="Raquel Alves"/>
    <x v="0"/>
    <x v="28"/>
    <x v="0"/>
    <n v="15"/>
    <x v="2"/>
    <x v="0"/>
    <x v="0"/>
    <x v="0"/>
    <n v="20"/>
    <n v="7"/>
    <x v="12"/>
  </r>
  <r>
    <n v="3261"/>
    <s v="Samuel Pires"/>
    <x v="2"/>
    <x v="29"/>
    <x v="1"/>
    <n v="10"/>
    <x v="0"/>
    <x v="1"/>
    <x v="1"/>
    <x v="0"/>
    <n v="20"/>
    <n v="10"/>
    <x v="2"/>
  </r>
  <r>
    <n v="3262"/>
    <s v="Tânia Barros"/>
    <x v="1"/>
    <x v="30"/>
    <x v="0"/>
    <n v="5"/>
    <x v="1"/>
    <x v="1"/>
    <x v="1"/>
    <x v="1"/>
    <n v="0"/>
    <n v="0"/>
    <x v="1"/>
  </r>
  <r>
    <n v="3263"/>
    <s v="Vinicius Lima"/>
    <x v="0"/>
    <x v="31"/>
    <x v="1"/>
    <n v="15"/>
    <x v="0"/>
    <x v="0"/>
    <x v="0"/>
    <x v="0"/>
    <n v="20"/>
    <n v="3"/>
    <x v="3"/>
  </r>
  <r>
    <n v="3264"/>
    <s v="Yasmin Teixeira"/>
    <x v="2"/>
    <x v="32"/>
    <x v="0"/>
    <n v="10"/>
    <x v="2"/>
    <x v="1"/>
    <x v="1"/>
    <x v="0"/>
    <n v="20"/>
    <n v="15"/>
    <x v="7"/>
  </r>
  <r>
    <n v="3265"/>
    <s v="Zé Carlos"/>
    <x v="1"/>
    <x v="33"/>
    <x v="1"/>
    <n v="5"/>
    <x v="0"/>
    <x v="1"/>
    <x v="1"/>
    <x v="1"/>
    <n v="0"/>
    <n v="1"/>
    <x v="4"/>
  </r>
  <r>
    <n v="3266"/>
    <s v="Amanda Nogueira"/>
    <x v="1"/>
    <x v="34"/>
    <x v="0"/>
    <n v="5"/>
    <x v="0"/>
    <x v="1"/>
    <x v="1"/>
    <x v="1"/>
    <n v="0"/>
    <n v="0"/>
    <x v="1"/>
  </r>
  <r>
    <n v="3267"/>
    <s v="Bruno Cavalheiro"/>
    <x v="0"/>
    <x v="35"/>
    <x v="1"/>
    <n v="15"/>
    <x v="2"/>
    <x v="0"/>
    <x v="0"/>
    <x v="0"/>
    <n v="20"/>
    <n v="7"/>
    <x v="12"/>
  </r>
  <r>
    <n v="3268"/>
    <s v="Carla Dias"/>
    <x v="2"/>
    <x v="36"/>
    <x v="0"/>
    <n v="10"/>
    <x v="1"/>
    <x v="1"/>
    <x v="1"/>
    <x v="0"/>
    <n v="20"/>
    <n v="10"/>
    <x v="2"/>
  </r>
  <r>
    <n v="3269"/>
    <s v="Diego Fontes"/>
    <x v="1"/>
    <x v="37"/>
    <x v="1"/>
    <n v="5"/>
    <x v="2"/>
    <x v="1"/>
    <x v="1"/>
    <x v="1"/>
    <n v="0"/>
    <n v="1"/>
    <x v="4"/>
  </r>
  <r>
    <n v="3270"/>
    <s v="Eunice Lima"/>
    <x v="0"/>
    <x v="38"/>
    <x v="0"/>
    <n v="15"/>
    <x v="0"/>
    <x v="0"/>
    <x v="0"/>
    <x v="0"/>
    <n v="20"/>
    <n v="15"/>
    <x v="14"/>
  </r>
  <r>
    <n v="3271"/>
    <s v="Fábio Martins"/>
    <x v="2"/>
    <x v="39"/>
    <x v="1"/>
    <n v="10"/>
    <x v="0"/>
    <x v="1"/>
    <x v="1"/>
    <x v="0"/>
    <n v="20"/>
    <n v="5"/>
    <x v="13"/>
  </r>
  <r>
    <n v="3272"/>
    <s v="Gisele Araújo"/>
    <x v="1"/>
    <x v="40"/>
    <x v="0"/>
    <n v="5"/>
    <x v="1"/>
    <x v="1"/>
    <x v="1"/>
    <x v="1"/>
    <n v="0"/>
    <n v="0"/>
    <x v="1"/>
  </r>
  <r>
    <n v="3273"/>
    <s v="Hélio Castro"/>
    <x v="0"/>
    <x v="41"/>
    <x v="1"/>
    <n v="15"/>
    <x v="2"/>
    <x v="0"/>
    <x v="0"/>
    <x v="0"/>
    <n v="20"/>
    <n v="20"/>
    <x v="8"/>
  </r>
  <r>
    <n v="3274"/>
    <s v="Ingrid Menezes"/>
    <x v="2"/>
    <x v="42"/>
    <x v="0"/>
    <n v="10"/>
    <x v="2"/>
    <x v="1"/>
    <x v="1"/>
    <x v="0"/>
    <n v="20"/>
    <n v="12"/>
    <x v="10"/>
  </r>
  <r>
    <n v="3275"/>
    <s v="Jorge Baptista"/>
    <x v="1"/>
    <x v="43"/>
    <x v="1"/>
    <n v="5"/>
    <x v="0"/>
    <x v="1"/>
    <x v="1"/>
    <x v="1"/>
    <n v="0"/>
    <n v="2"/>
    <x v="11"/>
  </r>
  <r>
    <n v="3276"/>
    <s v="Kléber Oliveira"/>
    <x v="0"/>
    <x v="44"/>
    <x v="0"/>
    <n v="15"/>
    <x v="1"/>
    <x v="0"/>
    <x v="0"/>
    <x v="0"/>
    <n v="20"/>
    <n v="5"/>
    <x v="0"/>
  </r>
  <r>
    <n v="3277"/>
    <s v="Luciana Freitas"/>
    <x v="2"/>
    <x v="45"/>
    <x v="1"/>
    <n v="10"/>
    <x v="0"/>
    <x v="1"/>
    <x v="1"/>
    <x v="0"/>
    <n v="20"/>
    <n v="10"/>
    <x v="2"/>
  </r>
  <r>
    <n v="3278"/>
    <s v="Márcia Eller"/>
    <x v="1"/>
    <x v="46"/>
    <x v="0"/>
    <n v="5"/>
    <x v="2"/>
    <x v="1"/>
    <x v="1"/>
    <x v="1"/>
    <n v="0"/>
    <n v="0"/>
    <x v="1"/>
  </r>
  <r>
    <n v="3279"/>
    <s v="Nilo Peçanha"/>
    <x v="0"/>
    <x v="47"/>
    <x v="1"/>
    <n v="15"/>
    <x v="0"/>
    <x v="0"/>
    <x v="0"/>
    <x v="0"/>
    <n v="20"/>
    <n v="3"/>
    <x v="3"/>
  </r>
  <r>
    <n v="3280"/>
    <s v="Oscar Neves"/>
    <x v="2"/>
    <x v="48"/>
    <x v="0"/>
    <n v="10"/>
    <x v="1"/>
    <x v="1"/>
    <x v="1"/>
    <x v="0"/>
    <n v="20"/>
    <n v="15"/>
    <x v="7"/>
  </r>
  <r>
    <n v="3281"/>
    <s v="Patrícia Soares"/>
    <x v="1"/>
    <x v="49"/>
    <x v="1"/>
    <n v="5"/>
    <x v="0"/>
    <x v="1"/>
    <x v="1"/>
    <x v="1"/>
    <n v="0"/>
    <n v="1"/>
    <x v="4"/>
  </r>
  <r>
    <n v="3282"/>
    <s v="Quirino Gonçalves"/>
    <x v="0"/>
    <x v="50"/>
    <x v="0"/>
    <n v="15"/>
    <x v="2"/>
    <x v="0"/>
    <x v="0"/>
    <x v="0"/>
    <n v="20"/>
    <n v="7"/>
    <x v="12"/>
  </r>
  <r>
    <n v="3283"/>
    <s v="Raul Machado"/>
    <x v="2"/>
    <x v="51"/>
    <x v="1"/>
    <n v="10"/>
    <x v="0"/>
    <x v="1"/>
    <x v="1"/>
    <x v="0"/>
    <n v="20"/>
    <n v="10"/>
    <x v="2"/>
  </r>
  <r>
    <n v="3284"/>
    <s v="Sônia Lobo"/>
    <x v="1"/>
    <x v="52"/>
    <x v="0"/>
    <n v="5"/>
    <x v="1"/>
    <x v="1"/>
    <x v="1"/>
    <x v="1"/>
    <n v="0"/>
    <n v="0"/>
    <x v="1"/>
  </r>
  <r>
    <n v="3285"/>
    <s v="Tiago Ramos"/>
    <x v="0"/>
    <x v="53"/>
    <x v="1"/>
    <n v="15"/>
    <x v="0"/>
    <x v="0"/>
    <x v="0"/>
    <x v="0"/>
    <n v="20"/>
    <n v="20"/>
    <x v="8"/>
  </r>
  <r>
    <n v="3286"/>
    <s v="Ugo Pires"/>
    <x v="2"/>
    <x v="54"/>
    <x v="0"/>
    <n v="10"/>
    <x v="2"/>
    <x v="1"/>
    <x v="1"/>
    <x v="0"/>
    <n v="20"/>
    <n v="15"/>
    <x v="7"/>
  </r>
  <r>
    <n v="3287"/>
    <s v="Valéria Nobre"/>
    <x v="1"/>
    <x v="55"/>
    <x v="1"/>
    <n v="5"/>
    <x v="0"/>
    <x v="1"/>
    <x v="1"/>
    <x v="1"/>
    <n v="0"/>
    <n v="1"/>
    <x v="4"/>
  </r>
  <r>
    <n v="3288"/>
    <s v="William Siqueira"/>
    <x v="0"/>
    <x v="56"/>
    <x v="0"/>
    <n v="15"/>
    <x v="1"/>
    <x v="0"/>
    <x v="0"/>
    <x v="0"/>
    <n v="20"/>
    <n v="3"/>
    <x v="3"/>
  </r>
  <r>
    <n v="3289"/>
    <s v="Xuxa Meneghel"/>
    <x v="2"/>
    <x v="57"/>
    <x v="1"/>
    <n v="10"/>
    <x v="0"/>
    <x v="1"/>
    <x v="1"/>
    <x v="0"/>
    <n v="20"/>
    <n v="10"/>
    <x v="2"/>
  </r>
  <r>
    <n v="3290"/>
    <s v="Yara Figueiredo"/>
    <x v="1"/>
    <x v="58"/>
    <x v="0"/>
    <n v="5"/>
    <x v="2"/>
    <x v="1"/>
    <x v="1"/>
    <x v="1"/>
    <n v="0"/>
    <n v="0"/>
    <x v="1"/>
  </r>
  <r>
    <n v="3291"/>
    <s v="Zacarias Alves"/>
    <x v="0"/>
    <x v="59"/>
    <x v="1"/>
    <n v="15"/>
    <x v="0"/>
    <x v="0"/>
    <x v="0"/>
    <x v="0"/>
    <n v="20"/>
    <n v="5"/>
    <x v="0"/>
  </r>
  <r>
    <n v="3292"/>
    <s v="Amanda Bynes"/>
    <x v="2"/>
    <x v="60"/>
    <x v="0"/>
    <n v="10"/>
    <x v="1"/>
    <x v="1"/>
    <x v="1"/>
    <x v="0"/>
    <n v="20"/>
    <n v="15"/>
    <x v="7"/>
  </r>
  <r>
    <n v="3293"/>
    <s v="Bruno Mars"/>
    <x v="1"/>
    <x v="61"/>
    <x v="1"/>
    <n v="5"/>
    <x v="0"/>
    <x v="1"/>
    <x v="1"/>
    <x v="1"/>
    <n v="0"/>
    <n v="1"/>
    <x v="4"/>
  </r>
  <r>
    <n v="3294"/>
    <s v="Carla Bruni"/>
    <x v="0"/>
    <x v="62"/>
    <x v="0"/>
    <n v="15"/>
    <x v="2"/>
    <x v="0"/>
    <x v="0"/>
    <x v="0"/>
    <n v="20"/>
    <n v="20"/>
    <x v="8"/>
  </r>
  <r>
    <n v="3295"/>
    <s v="Diego Maradona"/>
    <x v="2"/>
    <x v="63"/>
    <x v="1"/>
    <n v="10"/>
    <x v="0"/>
    <x v="1"/>
    <x v="1"/>
    <x v="0"/>
    <n v="20"/>
    <n v="5"/>
    <x v="13"/>
  </r>
  <r>
    <n v="3296"/>
    <s v="Estela Marques"/>
    <x v="1"/>
    <x v="64"/>
    <x v="1"/>
    <n v="5"/>
    <x v="0"/>
    <x v="1"/>
    <x v="1"/>
    <x v="1"/>
    <n v="0"/>
    <n v="0"/>
    <x v="1"/>
  </r>
  <r>
    <n v="3297"/>
    <s v="Fábio Nobre"/>
    <x v="0"/>
    <x v="65"/>
    <x v="0"/>
    <n v="15"/>
    <x v="2"/>
    <x v="0"/>
    <x v="0"/>
    <x v="0"/>
    <n v="20"/>
    <n v="7"/>
    <x v="12"/>
  </r>
  <r>
    <n v="3298"/>
    <s v="Gabriel Oliveira"/>
    <x v="2"/>
    <x v="66"/>
    <x v="1"/>
    <n v="10"/>
    <x v="1"/>
    <x v="1"/>
    <x v="1"/>
    <x v="0"/>
    <n v="20"/>
    <n v="10"/>
    <x v="2"/>
  </r>
  <r>
    <n v="3299"/>
    <s v="Helena Santos"/>
    <x v="1"/>
    <x v="67"/>
    <x v="0"/>
    <n v="5"/>
    <x v="2"/>
    <x v="1"/>
    <x v="1"/>
    <x v="1"/>
    <n v="0"/>
    <n v="1"/>
    <x v="4"/>
  </r>
  <r>
    <n v="3300"/>
    <s v="Ivan Carvalho"/>
    <x v="0"/>
    <x v="68"/>
    <x v="1"/>
    <n v="15"/>
    <x v="0"/>
    <x v="0"/>
    <x v="0"/>
    <x v="0"/>
    <n v="20"/>
    <n v="15"/>
    <x v="14"/>
  </r>
  <r>
    <n v="3301"/>
    <s v="Júlia Ferreira"/>
    <x v="2"/>
    <x v="69"/>
    <x v="0"/>
    <n v="10"/>
    <x v="0"/>
    <x v="1"/>
    <x v="1"/>
    <x v="0"/>
    <n v="20"/>
    <n v="5"/>
    <x v="13"/>
  </r>
  <r>
    <n v="3302"/>
    <s v="Karla Alves"/>
    <x v="1"/>
    <x v="70"/>
    <x v="1"/>
    <n v="5"/>
    <x v="1"/>
    <x v="1"/>
    <x v="1"/>
    <x v="1"/>
    <n v="0"/>
    <n v="0"/>
    <x v="1"/>
  </r>
  <r>
    <n v="3303"/>
    <s v="Lucas Mendes"/>
    <x v="0"/>
    <x v="71"/>
    <x v="0"/>
    <n v="15"/>
    <x v="2"/>
    <x v="0"/>
    <x v="0"/>
    <x v="0"/>
    <n v="20"/>
    <n v="20"/>
    <x v="8"/>
  </r>
  <r>
    <n v="3304"/>
    <s v="Mônica Gomes"/>
    <x v="2"/>
    <x v="72"/>
    <x v="1"/>
    <n v="10"/>
    <x v="2"/>
    <x v="1"/>
    <x v="1"/>
    <x v="0"/>
    <n v="20"/>
    <n v="12"/>
    <x v="10"/>
  </r>
  <r>
    <n v="3305"/>
    <s v="Norberto Queiroz"/>
    <x v="1"/>
    <x v="73"/>
    <x v="0"/>
    <n v="5"/>
    <x v="0"/>
    <x v="1"/>
    <x v="1"/>
    <x v="1"/>
    <n v="0"/>
    <n v="2"/>
    <x v="11"/>
  </r>
  <r>
    <n v="3306"/>
    <s v="Otávio Barros"/>
    <x v="0"/>
    <x v="74"/>
    <x v="1"/>
    <n v="15"/>
    <x v="1"/>
    <x v="0"/>
    <x v="0"/>
    <x v="0"/>
    <n v="20"/>
    <n v="5"/>
    <x v="0"/>
  </r>
  <r>
    <n v="3307"/>
    <s v="Paula Vieira"/>
    <x v="2"/>
    <x v="75"/>
    <x v="0"/>
    <n v="10"/>
    <x v="0"/>
    <x v="1"/>
    <x v="1"/>
    <x v="0"/>
    <n v="20"/>
    <n v="10"/>
    <x v="2"/>
  </r>
  <r>
    <n v="3308"/>
    <s v="Quentin Ramos"/>
    <x v="1"/>
    <x v="76"/>
    <x v="1"/>
    <n v="5"/>
    <x v="2"/>
    <x v="1"/>
    <x v="1"/>
    <x v="1"/>
    <n v="0"/>
    <n v="0"/>
    <x v="1"/>
  </r>
  <r>
    <n v="3309"/>
    <s v="Raquel Novaes"/>
    <x v="0"/>
    <x v="77"/>
    <x v="0"/>
    <n v="15"/>
    <x v="0"/>
    <x v="0"/>
    <x v="0"/>
    <x v="0"/>
    <n v="20"/>
    <n v="3"/>
    <x v="3"/>
  </r>
  <r>
    <n v="3310"/>
    <s v="Samantha Lopes"/>
    <x v="2"/>
    <x v="78"/>
    <x v="1"/>
    <n v="10"/>
    <x v="1"/>
    <x v="1"/>
    <x v="1"/>
    <x v="0"/>
    <n v="20"/>
    <n v="15"/>
    <x v="7"/>
  </r>
  <r>
    <n v="3311"/>
    <s v="Tiago Martins"/>
    <x v="1"/>
    <x v="79"/>
    <x v="0"/>
    <n v="5"/>
    <x v="0"/>
    <x v="1"/>
    <x v="1"/>
    <x v="1"/>
    <n v="0"/>
    <n v="1"/>
    <x v="4"/>
  </r>
  <r>
    <n v="3312"/>
    <s v="Ulysses Guimarães"/>
    <x v="0"/>
    <x v="80"/>
    <x v="1"/>
    <n v="15"/>
    <x v="2"/>
    <x v="0"/>
    <x v="0"/>
    <x v="0"/>
    <n v="20"/>
    <n v="7"/>
    <x v="12"/>
  </r>
  <r>
    <n v="3313"/>
    <s v="Vanessa Silva"/>
    <x v="2"/>
    <x v="81"/>
    <x v="0"/>
    <n v="10"/>
    <x v="0"/>
    <x v="1"/>
    <x v="1"/>
    <x v="0"/>
    <n v="20"/>
    <n v="10"/>
    <x v="2"/>
  </r>
  <r>
    <n v="3314"/>
    <s v="William Carneiro"/>
    <x v="1"/>
    <x v="82"/>
    <x v="1"/>
    <n v="5"/>
    <x v="1"/>
    <x v="1"/>
    <x v="1"/>
    <x v="1"/>
    <n v="0"/>
    <n v="0"/>
    <x v="1"/>
  </r>
  <r>
    <n v="3315"/>
    <s v="Ximena Rocha"/>
    <x v="0"/>
    <x v="83"/>
    <x v="0"/>
    <n v="15"/>
    <x v="0"/>
    <x v="0"/>
    <x v="0"/>
    <x v="0"/>
    <n v="20"/>
    <n v="20"/>
    <x v="8"/>
  </r>
  <r>
    <n v="3316"/>
    <s v="Yasmin Figueiredo"/>
    <x v="2"/>
    <x v="84"/>
    <x v="1"/>
    <n v="10"/>
    <x v="2"/>
    <x v="1"/>
    <x v="1"/>
    <x v="0"/>
    <n v="20"/>
    <n v="15"/>
    <x v="7"/>
  </r>
  <r>
    <n v="3317"/>
    <s v="Zara Cunha"/>
    <x v="1"/>
    <x v="85"/>
    <x v="0"/>
    <n v="5"/>
    <x v="0"/>
    <x v="1"/>
    <x v="1"/>
    <x v="1"/>
    <n v="0"/>
    <n v="1"/>
    <x v="4"/>
  </r>
  <r>
    <n v="3318"/>
    <s v="Alan Teixeira"/>
    <x v="0"/>
    <x v="86"/>
    <x v="1"/>
    <n v="15"/>
    <x v="1"/>
    <x v="0"/>
    <x v="0"/>
    <x v="0"/>
    <n v="20"/>
    <n v="3"/>
    <x v="3"/>
  </r>
  <r>
    <n v="3319"/>
    <s v="Bárbara Oliveira"/>
    <x v="2"/>
    <x v="87"/>
    <x v="0"/>
    <n v="10"/>
    <x v="0"/>
    <x v="1"/>
    <x v="1"/>
    <x v="0"/>
    <n v="20"/>
    <n v="10"/>
    <x v="2"/>
  </r>
  <r>
    <n v="3320"/>
    <s v="Carlos Junqueira"/>
    <x v="1"/>
    <x v="88"/>
    <x v="1"/>
    <n v="5"/>
    <x v="2"/>
    <x v="1"/>
    <x v="1"/>
    <x v="1"/>
    <n v="0"/>
    <n v="0"/>
    <x v="1"/>
  </r>
  <r>
    <n v="3321"/>
    <s v="Daniela Moura"/>
    <x v="0"/>
    <x v="89"/>
    <x v="0"/>
    <n v="15"/>
    <x v="0"/>
    <x v="0"/>
    <x v="0"/>
    <x v="0"/>
    <n v="20"/>
    <n v="5"/>
    <x v="0"/>
  </r>
  <r>
    <n v="3322"/>
    <s v="Eduardo Lima"/>
    <x v="2"/>
    <x v="90"/>
    <x v="1"/>
    <n v="10"/>
    <x v="1"/>
    <x v="1"/>
    <x v="1"/>
    <x v="0"/>
    <n v="20"/>
    <n v="15"/>
    <x v="7"/>
  </r>
  <r>
    <n v="3323"/>
    <s v="Fabiana Araújo"/>
    <x v="1"/>
    <x v="91"/>
    <x v="0"/>
    <n v="5"/>
    <x v="0"/>
    <x v="1"/>
    <x v="1"/>
    <x v="1"/>
    <n v="0"/>
    <n v="1"/>
    <x v="4"/>
  </r>
  <r>
    <n v="3324"/>
    <s v="Geraldo Ribeiro"/>
    <x v="0"/>
    <x v="92"/>
    <x v="1"/>
    <n v="15"/>
    <x v="2"/>
    <x v="0"/>
    <x v="0"/>
    <x v="0"/>
    <n v="20"/>
    <n v="20"/>
    <x v="8"/>
  </r>
  <r>
    <n v="3325"/>
    <s v="Héctor Vargas"/>
    <x v="2"/>
    <x v="93"/>
    <x v="0"/>
    <n v="10"/>
    <x v="2"/>
    <x v="1"/>
    <x v="1"/>
    <x v="0"/>
    <n v="20"/>
    <n v="15"/>
    <x v="7"/>
  </r>
  <r>
    <n v="3326"/>
    <s v="Isabela Fonseca"/>
    <x v="1"/>
    <x v="94"/>
    <x v="1"/>
    <n v="5"/>
    <x v="1"/>
    <x v="1"/>
    <x v="1"/>
    <x v="1"/>
    <n v="0"/>
    <n v="0"/>
    <x v="1"/>
  </r>
  <r>
    <n v="3327"/>
    <s v="João Pedro Almeida"/>
    <x v="0"/>
    <x v="95"/>
    <x v="0"/>
    <n v="15"/>
    <x v="0"/>
    <x v="0"/>
    <x v="0"/>
    <x v="0"/>
    <n v="20"/>
    <n v="7"/>
    <x v="12"/>
  </r>
  <r>
    <n v="3328"/>
    <s v="Klara Costa"/>
    <x v="2"/>
    <x v="96"/>
    <x v="1"/>
    <n v="10"/>
    <x v="1"/>
    <x v="1"/>
    <x v="1"/>
    <x v="0"/>
    <n v="20"/>
    <n v="10"/>
    <x v="2"/>
  </r>
  <r>
    <n v="3329"/>
    <s v="Luciana Mendes"/>
    <x v="1"/>
    <x v="97"/>
    <x v="0"/>
    <n v="5"/>
    <x v="2"/>
    <x v="1"/>
    <x v="1"/>
    <x v="1"/>
    <n v="0"/>
    <n v="1"/>
    <x v="4"/>
  </r>
  <r>
    <n v="3330"/>
    <s v="Marcelo Gouveia"/>
    <x v="0"/>
    <x v="98"/>
    <x v="1"/>
    <n v="15"/>
    <x v="0"/>
    <x v="0"/>
    <x v="0"/>
    <x v="0"/>
    <n v="20"/>
    <n v="15"/>
    <x v="14"/>
  </r>
  <r>
    <n v="3331"/>
    <s v="Nívea Borges"/>
    <x v="2"/>
    <x v="99"/>
    <x v="0"/>
    <n v="10"/>
    <x v="0"/>
    <x v="1"/>
    <x v="1"/>
    <x v="0"/>
    <n v="20"/>
    <n v="5"/>
    <x v="13"/>
  </r>
  <r>
    <n v="3332"/>
    <s v="Oscar Nogueira"/>
    <x v="1"/>
    <x v="100"/>
    <x v="1"/>
    <n v="5"/>
    <x v="1"/>
    <x v="1"/>
    <x v="1"/>
    <x v="1"/>
    <n v="0"/>
    <n v="0"/>
    <x v="1"/>
  </r>
  <r>
    <n v="3333"/>
    <s v="Patrícia Alves"/>
    <x v="0"/>
    <x v="101"/>
    <x v="0"/>
    <n v="15"/>
    <x v="2"/>
    <x v="0"/>
    <x v="0"/>
    <x v="0"/>
    <n v="20"/>
    <n v="20"/>
    <x v="8"/>
  </r>
  <r>
    <n v="3334"/>
    <s v="Rafaela Silva"/>
    <x v="2"/>
    <x v="102"/>
    <x v="1"/>
    <n v="10"/>
    <x v="2"/>
    <x v="1"/>
    <x v="1"/>
    <x v="0"/>
    <n v="20"/>
    <n v="12"/>
    <x v="10"/>
  </r>
  <r>
    <n v="3335"/>
    <s v="Samantha Moraes"/>
    <x v="1"/>
    <x v="103"/>
    <x v="0"/>
    <n v="5"/>
    <x v="0"/>
    <x v="1"/>
    <x v="1"/>
    <x v="1"/>
    <n v="0"/>
    <n v="2"/>
    <x v="11"/>
  </r>
  <r>
    <n v="3336"/>
    <s v="Tatiana Rocha"/>
    <x v="1"/>
    <x v="104"/>
    <x v="0"/>
    <n v="5"/>
    <x v="0"/>
    <x v="1"/>
    <x v="1"/>
    <x v="1"/>
    <n v="0"/>
    <n v="0"/>
    <x v="1"/>
  </r>
  <r>
    <n v="3337"/>
    <s v="Ulisses Tavares"/>
    <x v="0"/>
    <x v="105"/>
    <x v="1"/>
    <n v="15"/>
    <x v="2"/>
    <x v="0"/>
    <x v="0"/>
    <x v="0"/>
    <n v="20"/>
    <n v="7"/>
    <x v="12"/>
  </r>
  <r>
    <n v="3338"/>
    <s v="Víctor Lemos"/>
    <x v="2"/>
    <x v="106"/>
    <x v="0"/>
    <n v="10"/>
    <x v="1"/>
    <x v="1"/>
    <x v="1"/>
    <x v="0"/>
    <n v="20"/>
    <n v="10"/>
    <x v="2"/>
  </r>
  <r>
    <n v="3339"/>
    <s v="Wilma Barros"/>
    <x v="1"/>
    <x v="107"/>
    <x v="1"/>
    <n v="5"/>
    <x v="2"/>
    <x v="1"/>
    <x v="1"/>
    <x v="1"/>
    <n v="0"/>
    <n v="1"/>
    <x v="4"/>
  </r>
  <r>
    <n v="3340"/>
    <s v="Xavier Nascimento"/>
    <x v="0"/>
    <x v="108"/>
    <x v="0"/>
    <n v="15"/>
    <x v="0"/>
    <x v="0"/>
    <x v="0"/>
    <x v="0"/>
    <n v="20"/>
    <n v="15"/>
    <x v="14"/>
  </r>
  <r>
    <n v="3341"/>
    <s v="Yago Pereira"/>
    <x v="2"/>
    <x v="109"/>
    <x v="1"/>
    <n v="10"/>
    <x v="0"/>
    <x v="1"/>
    <x v="1"/>
    <x v="0"/>
    <n v="20"/>
    <n v="5"/>
    <x v="13"/>
  </r>
  <r>
    <n v="3342"/>
    <s v="Zilda Ferreira"/>
    <x v="1"/>
    <x v="110"/>
    <x v="0"/>
    <n v="5"/>
    <x v="1"/>
    <x v="1"/>
    <x v="1"/>
    <x v="1"/>
    <n v="0"/>
    <n v="0"/>
    <x v="1"/>
  </r>
  <r>
    <n v="3343"/>
    <s v="Amanda Lopes"/>
    <x v="0"/>
    <x v="111"/>
    <x v="1"/>
    <n v="15"/>
    <x v="2"/>
    <x v="0"/>
    <x v="0"/>
    <x v="0"/>
    <n v="20"/>
    <n v="20"/>
    <x v="8"/>
  </r>
  <r>
    <n v="3344"/>
    <s v="Bruno Miranda"/>
    <x v="2"/>
    <x v="112"/>
    <x v="0"/>
    <n v="10"/>
    <x v="2"/>
    <x v="1"/>
    <x v="1"/>
    <x v="0"/>
    <n v="20"/>
    <n v="12"/>
    <x v="10"/>
  </r>
  <r>
    <n v="3345"/>
    <s v="Célia Torres"/>
    <x v="1"/>
    <x v="113"/>
    <x v="1"/>
    <n v="5"/>
    <x v="0"/>
    <x v="1"/>
    <x v="1"/>
    <x v="1"/>
    <n v="0"/>
    <n v="2"/>
    <x v="11"/>
  </r>
  <r>
    <n v="3346"/>
    <s v="Diogo Souza"/>
    <x v="0"/>
    <x v="114"/>
    <x v="0"/>
    <n v="15"/>
    <x v="1"/>
    <x v="0"/>
    <x v="0"/>
    <x v="0"/>
    <n v="20"/>
    <n v="5"/>
    <x v="0"/>
  </r>
  <r>
    <n v="3347"/>
    <s v="Elisa Castro"/>
    <x v="2"/>
    <x v="115"/>
    <x v="1"/>
    <n v="10"/>
    <x v="0"/>
    <x v="1"/>
    <x v="1"/>
    <x v="0"/>
    <n v="20"/>
    <n v="10"/>
    <x v="2"/>
  </r>
  <r>
    <n v="3348"/>
    <s v="Fátima Lima"/>
    <x v="1"/>
    <x v="116"/>
    <x v="0"/>
    <n v="5"/>
    <x v="2"/>
    <x v="1"/>
    <x v="1"/>
    <x v="1"/>
    <n v="0"/>
    <n v="0"/>
    <x v="1"/>
  </r>
  <r>
    <n v="3349"/>
    <s v="Geraldo Ribeiro"/>
    <x v="0"/>
    <x v="117"/>
    <x v="1"/>
    <n v="15"/>
    <x v="0"/>
    <x v="0"/>
    <x v="0"/>
    <x v="0"/>
    <n v="20"/>
    <n v="3"/>
    <x v="3"/>
  </r>
  <r>
    <n v="3350"/>
    <s v="Hélio Martins"/>
    <x v="2"/>
    <x v="118"/>
    <x v="0"/>
    <n v="10"/>
    <x v="1"/>
    <x v="1"/>
    <x v="1"/>
    <x v="0"/>
    <n v="20"/>
    <n v="15"/>
    <x v="7"/>
  </r>
  <r>
    <n v="3351"/>
    <s v="Íris Santos"/>
    <x v="1"/>
    <x v="119"/>
    <x v="1"/>
    <n v="5"/>
    <x v="0"/>
    <x v="1"/>
    <x v="1"/>
    <x v="1"/>
    <n v="0"/>
    <n v="1"/>
    <x v="4"/>
  </r>
  <r>
    <n v="3352"/>
    <s v="João Marcelo"/>
    <x v="0"/>
    <x v="120"/>
    <x v="0"/>
    <n v="15"/>
    <x v="2"/>
    <x v="0"/>
    <x v="0"/>
    <x v="0"/>
    <n v="20"/>
    <n v="7"/>
    <x v="12"/>
  </r>
  <r>
    <n v="3353"/>
    <s v="Larissa Gomes"/>
    <x v="2"/>
    <x v="121"/>
    <x v="1"/>
    <n v="10"/>
    <x v="0"/>
    <x v="1"/>
    <x v="1"/>
    <x v="0"/>
    <n v="20"/>
    <n v="10"/>
    <x v="2"/>
  </r>
  <r>
    <n v="3354"/>
    <s v="Márcio Silva"/>
    <x v="1"/>
    <x v="122"/>
    <x v="0"/>
    <n v="5"/>
    <x v="1"/>
    <x v="1"/>
    <x v="1"/>
    <x v="1"/>
    <n v="0"/>
    <n v="0"/>
    <x v="1"/>
  </r>
  <r>
    <n v="3355"/>
    <s v="Nadia Costa"/>
    <x v="0"/>
    <x v="123"/>
    <x v="1"/>
    <n v="15"/>
    <x v="0"/>
    <x v="0"/>
    <x v="0"/>
    <x v="0"/>
    <n v="20"/>
    <n v="20"/>
    <x v="8"/>
  </r>
  <r>
    <n v="3356"/>
    <s v="Oscar Almeida"/>
    <x v="2"/>
    <x v="124"/>
    <x v="0"/>
    <n v="10"/>
    <x v="2"/>
    <x v="1"/>
    <x v="1"/>
    <x v="0"/>
    <n v="20"/>
    <n v="15"/>
    <x v="7"/>
  </r>
  <r>
    <n v="3357"/>
    <s v="Patricia Soares"/>
    <x v="1"/>
    <x v="125"/>
    <x v="1"/>
    <n v="5"/>
    <x v="0"/>
    <x v="1"/>
    <x v="1"/>
    <x v="1"/>
    <n v="0"/>
    <n v="1"/>
    <x v="4"/>
  </r>
  <r>
    <n v="3358"/>
    <s v="Quênia Barros"/>
    <x v="0"/>
    <x v="126"/>
    <x v="0"/>
    <n v="15"/>
    <x v="1"/>
    <x v="0"/>
    <x v="0"/>
    <x v="0"/>
    <n v="20"/>
    <n v="3"/>
    <x v="3"/>
  </r>
  <r>
    <n v="3359"/>
    <s v="Rafael Torres"/>
    <x v="2"/>
    <x v="127"/>
    <x v="1"/>
    <n v="10"/>
    <x v="0"/>
    <x v="1"/>
    <x v="1"/>
    <x v="0"/>
    <n v="20"/>
    <n v="10"/>
    <x v="2"/>
  </r>
  <r>
    <n v="3360"/>
    <s v="Silvia Nascimento"/>
    <x v="1"/>
    <x v="128"/>
    <x v="0"/>
    <n v="5"/>
    <x v="2"/>
    <x v="1"/>
    <x v="1"/>
    <x v="1"/>
    <n v="0"/>
    <n v="0"/>
    <x v="1"/>
  </r>
  <r>
    <n v="3361"/>
    <s v="Tiago Mendes"/>
    <x v="0"/>
    <x v="129"/>
    <x v="1"/>
    <n v="15"/>
    <x v="0"/>
    <x v="0"/>
    <x v="0"/>
    <x v="0"/>
    <n v="20"/>
    <n v="15"/>
    <x v="14"/>
  </r>
  <r>
    <n v="3362"/>
    <s v="Ursula Silva"/>
    <x v="2"/>
    <x v="130"/>
    <x v="0"/>
    <n v="10"/>
    <x v="1"/>
    <x v="1"/>
    <x v="1"/>
    <x v="0"/>
    <n v="20"/>
    <n v="15"/>
    <x v="7"/>
  </r>
  <r>
    <n v="3363"/>
    <s v="Vanessa Moraes"/>
    <x v="1"/>
    <x v="131"/>
    <x v="1"/>
    <n v="5"/>
    <x v="0"/>
    <x v="1"/>
    <x v="1"/>
    <x v="1"/>
    <n v="0"/>
    <n v="1"/>
    <x v="4"/>
  </r>
  <r>
    <n v="3364"/>
    <s v="Waldir Junior"/>
    <x v="0"/>
    <x v="132"/>
    <x v="0"/>
    <n v="15"/>
    <x v="2"/>
    <x v="0"/>
    <x v="0"/>
    <x v="0"/>
    <n v="20"/>
    <n v="7"/>
    <x v="12"/>
  </r>
  <r>
    <n v="3365"/>
    <s v="Xavier Lopes"/>
    <x v="2"/>
    <x v="133"/>
    <x v="1"/>
    <n v="10"/>
    <x v="0"/>
    <x v="1"/>
    <x v="1"/>
    <x v="0"/>
    <n v="20"/>
    <n v="10"/>
    <x v="2"/>
  </r>
  <r>
    <n v="3366"/>
    <s v="Yolanda Freitas"/>
    <x v="1"/>
    <x v="134"/>
    <x v="0"/>
    <n v="5"/>
    <x v="0"/>
    <x v="1"/>
    <x v="1"/>
    <x v="1"/>
    <n v="0"/>
    <n v="0"/>
    <x v="1"/>
  </r>
  <r>
    <n v="3367"/>
    <s v="Zacarias Nunes"/>
    <x v="0"/>
    <x v="135"/>
    <x v="1"/>
    <n v="15"/>
    <x v="2"/>
    <x v="0"/>
    <x v="0"/>
    <x v="0"/>
    <n v="20"/>
    <n v="7"/>
    <x v="12"/>
  </r>
  <r>
    <n v="3368"/>
    <s v="Ana Clara Barreto"/>
    <x v="2"/>
    <x v="136"/>
    <x v="0"/>
    <n v="10"/>
    <x v="1"/>
    <x v="1"/>
    <x v="1"/>
    <x v="0"/>
    <n v="20"/>
    <n v="10"/>
    <x v="2"/>
  </r>
  <r>
    <n v="3369"/>
    <s v="Bruno Henrique"/>
    <x v="1"/>
    <x v="137"/>
    <x v="1"/>
    <n v="5"/>
    <x v="2"/>
    <x v="1"/>
    <x v="1"/>
    <x v="1"/>
    <n v="0"/>
    <n v="1"/>
    <x v="4"/>
  </r>
  <r>
    <n v="3370"/>
    <s v="Carlos Eduardo"/>
    <x v="0"/>
    <x v="138"/>
    <x v="0"/>
    <n v="15"/>
    <x v="0"/>
    <x v="0"/>
    <x v="0"/>
    <x v="0"/>
    <n v="20"/>
    <n v="15"/>
    <x v="14"/>
  </r>
  <r>
    <n v="3371"/>
    <s v="Débora Lima"/>
    <x v="2"/>
    <x v="139"/>
    <x v="1"/>
    <n v="10"/>
    <x v="0"/>
    <x v="1"/>
    <x v="1"/>
    <x v="0"/>
    <n v="20"/>
    <n v="5"/>
    <x v="13"/>
  </r>
  <r>
    <n v="3372"/>
    <s v="Elisa Neves"/>
    <x v="1"/>
    <x v="140"/>
    <x v="0"/>
    <n v="5"/>
    <x v="1"/>
    <x v="1"/>
    <x v="1"/>
    <x v="1"/>
    <n v="0"/>
    <n v="0"/>
    <x v="1"/>
  </r>
  <r>
    <n v="3373"/>
    <s v="Fabiano Gomes"/>
    <x v="0"/>
    <x v="141"/>
    <x v="1"/>
    <n v="15"/>
    <x v="2"/>
    <x v="0"/>
    <x v="0"/>
    <x v="0"/>
    <n v="20"/>
    <n v="20"/>
    <x v="8"/>
  </r>
  <r>
    <n v="3374"/>
    <s v="Gisele Oliveira"/>
    <x v="2"/>
    <x v="142"/>
    <x v="0"/>
    <n v="10"/>
    <x v="2"/>
    <x v="1"/>
    <x v="1"/>
    <x v="0"/>
    <n v="20"/>
    <n v="12"/>
    <x v="10"/>
  </r>
  <r>
    <n v="3375"/>
    <s v="Héctor Silva"/>
    <x v="1"/>
    <x v="143"/>
    <x v="1"/>
    <n v="5"/>
    <x v="0"/>
    <x v="1"/>
    <x v="1"/>
    <x v="1"/>
    <n v="0"/>
    <n v="2"/>
    <x v="11"/>
  </r>
  <r>
    <n v="3376"/>
    <s v="Igor Martins"/>
    <x v="0"/>
    <x v="144"/>
    <x v="0"/>
    <n v="15"/>
    <x v="1"/>
    <x v="0"/>
    <x v="0"/>
    <x v="0"/>
    <n v="20"/>
    <n v="5"/>
    <x v="0"/>
  </r>
  <r>
    <n v="3377"/>
    <s v="Joana Figueiredo"/>
    <x v="2"/>
    <x v="145"/>
    <x v="1"/>
    <n v="10"/>
    <x v="0"/>
    <x v="1"/>
    <x v="1"/>
    <x v="0"/>
    <n v="20"/>
    <n v="10"/>
    <x v="2"/>
  </r>
  <r>
    <n v="3378"/>
    <s v="Kleber Machado"/>
    <x v="1"/>
    <x v="146"/>
    <x v="0"/>
    <n v="5"/>
    <x v="2"/>
    <x v="1"/>
    <x v="1"/>
    <x v="1"/>
    <n v="0"/>
    <n v="0"/>
    <x v="1"/>
  </r>
  <r>
    <n v="3379"/>
    <s v="Luciana Santos"/>
    <x v="0"/>
    <x v="147"/>
    <x v="1"/>
    <n v="15"/>
    <x v="0"/>
    <x v="0"/>
    <x v="0"/>
    <x v="0"/>
    <n v="20"/>
    <n v="3"/>
    <x v="3"/>
  </r>
  <r>
    <n v="3380"/>
    <s v="Marcos Teixeira"/>
    <x v="2"/>
    <x v="148"/>
    <x v="0"/>
    <n v="10"/>
    <x v="1"/>
    <x v="1"/>
    <x v="1"/>
    <x v="0"/>
    <n v="20"/>
    <n v="15"/>
    <x v="7"/>
  </r>
  <r>
    <n v="3381"/>
    <s v="Natalia Costa"/>
    <x v="1"/>
    <x v="149"/>
    <x v="1"/>
    <n v="5"/>
    <x v="0"/>
    <x v="1"/>
    <x v="1"/>
    <x v="1"/>
    <n v="0"/>
    <n v="1"/>
    <x v="4"/>
  </r>
  <r>
    <n v="3382"/>
    <s v="Oscar Ribeiro"/>
    <x v="0"/>
    <x v="150"/>
    <x v="0"/>
    <n v="15"/>
    <x v="2"/>
    <x v="0"/>
    <x v="0"/>
    <x v="0"/>
    <n v="20"/>
    <n v="7"/>
    <x v="12"/>
  </r>
  <r>
    <n v="3383"/>
    <s v="Patricia Almeida"/>
    <x v="2"/>
    <x v="151"/>
    <x v="1"/>
    <n v="10"/>
    <x v="0"/>
    <x v="1"/>
    <x v="1"/>
    <x v="0"/>
    <n v="20"/>
    <n v="10"/>
    <x v="2"/>
  </r>
  <r>
    <n v="3384"/>
    <s v="Quirino Junior"/>
    <x v="1"/>
    <x v="152"/>
    <x v="0"/>
    <n v="5"/>
    <x v="1"/>
    <x v="1"/>
    <x v="1"/>
    <x v="1"/>
    <n v="0"/>
    <n v="0"/>
    <x v="1"/>
  </r>
  <r>
    <n v="3385"/>
    <s v="Renata Machado"/>
    <x v="0"/>
    <x v="153"/>
    <x v="1"/>
    <n v="15"/>
    <x v="0"/>
    <x v="0"/>
    <x v="0"/>
    <x v="0"/>
    <n v="20"/>
    <n v="20"/>
    <x v="8"/>
  </r>
  <r>
    <n v="3386"/>
    <s v="Sônia Alves"/>
    <x v="2"/>
    <x v="154"/>
    <x v="0"/>
    <n v="10"/>
    <x v="2"/>
    <x v="1"/>
    <x v="1"/>
    <x v="0"/>
    <n v="20"/>
    <n v="15"/>
    <x v="7"/>
  </r>
  <r>
    <n v="3387"/>
    <s v="Tiago Nunes"/>
    <x v="1"/>
    <x v="155"/>
    <x v="1"/>
    <n v="5"/>
    <x v="0"/>
    <x v="1"/>
    <x v="1"/>
    <x v="1"/>
    <n v="0"/>
    <n v="1"/>
    <x v="4"/>
  </r>
  <r>
    <n v="3388"/>
    <s v="Ulysses Pereira"/>
    <x v="0"/>
    <x v="156"/>
    <x v="0"/>
    <n v="15"/>
    <x v="1"/>
    <x v="0"/>
    <x v="0"/>
    <x v="0"/>
    <n v="20"/>
    <n v="3"/>
    <x v="3"/>
  </r>
  <r>
    <n v="3389"/>
    <s v="Vanessa Lima"/>
    <x v="2"/>
    <x v="157"/>
    <x v="1"/>
    <n v="10"/>
    <x v="0"/>
    <x v="1"/>
    <x v="1"/>
    <x v="0"/>
    <n v="20"/>
    <n v="10"/>
    <x v="2"/>
  </r>
  <r>
    <n v="3390"/>
    <s v="Wagner Santos"/>
    <x v="1"/>
    <x v="158"/>
    <x v="0"/>
    <n v="5"/>
    <x v="2"/>
    <x v="1"/>
    <x v="1"/>
    <x v="1"/>
    <n v="0"/>
    <n v="0"/>
    <x v="1"/>
  </r>
  <r>
    <n v="3391"/>
    <s v="Xuxa Meneghel"/>
    <x v="0"/>
    <x v="159"/>
    <x v="1"/>
    <n v="15"/>
    <x v="0"/>
    <x v="0"/>
    <x v="0"/>
    <x v="0"/>
    <n v="20"/>
    <n v="15"/>
    <x v="14"/>
  </r>
  <r>
    <n v="3392"/>
    <s v="Yasmin Silva"/>
    <x v="2"/>
    <x v="160"/>
    <x v="0"/>
    <n v="10"/>
    <x v="1"/>
    <x v="1"/>
    <x v="1"/>
    <x v="0"/>
    <n v="20"/>
    <n v="15"/>
    <x v="7"/>
  </r>
  <r>
    <n v="3393"/>
    <s v="Zacarias de Souza"/>
    <x v="1"/>
    <x v="161"/>
    <x v="1"/>
    <n v="5"/>
    <x v="0"/>
    <x v="1"/>
    <x v="1"/>
    <x v="1"/>
    <n v="0"/>
    <n v="1"/>
    <x v="4"/>
  </r>
  <r>
    <n v="3394"/>
    <s v="André Lima"/>
    <x v="0"/>
    <x v="162"/>
    <x v="0"/>
    <n v="15"/>
    <x v="2"/>
    <x v="0"/>
    <x v="0"/>
    <x v="0"/>
    <n v="20"/>
    <n v="7"/>
    <x v="12"/>
  </r>
  <r>
    <n v="3395"/>
    <s v="Bianca Freitas"/>
    <x v="2"/>
    <x v="163"/>
    <x v="1"/>
    <n v="10"/>
    <x v="0"/>
    <x v="1"/>
    <x v="1"/>
    <x v="0"/>
    <n v="20"/>
    <n v="10"/>
    <x v="2"/>
  </r>
  <r>
    <n v="3396"/>
    <s v="Caio Mendes"/>
    <x v="1"/>
    <x v="164"/>
    <x v="0"/>
    <n v="5"/>
    <x v="1"/>
    <x v="1"/>
    <x v="1"/>
    <x v="1"/>
    <n v="0"/>
    <n v="0"/>
    <x v="1"/>
  </r>
  <r>
    <n v="3397"/>
    <s v="Daniela Moura"/>
    <x v="0"/>
    <x v="165"/>
    <x v="1"/>
    <n v="15"/>
    <x v="0"/>
    <x v="0"/>
    <x v="0"/>
    <x v="0"/>
    <n v="20"/>
    <n v="20"/>
    <x v="8"/>
  </r>
  <r>
    <n v="3398"/>
    <s v="Eduardo Costa"/>
    <x v="2"/>
    <x v="166"/>
    <x v="0"/>
    <n v="10"/>
    <x v="2"/>
    <x v="1"/>
    <x v="1"/>
    <x v="0"/>
    <n v="20"/>
    <n v="15"/>
    <x v="7"/>
  </r>
  <r>
    <n v="3399"/>
    <s v="Fernanda Gomes"/>
    <x v="1"/>
    <x v="167"/>
    <x v="1"/>
    <n v="5"/>
    <x v="0"/>
    <x v="1"/>
    <x v="1"/>
    <x v="1"/>
    <n v="0"/>
    <n v="1"/>
    <x v="4"/>
  </r>
  <r>
    <n v="3400"/>
    <s v="Guilherme Souza"/>
    <x v="0"/>
    <x v="168"/>
    <x v="0"/>
    <n v="15"/>
    <x v="1"/>
    <x v="0"/>
    <x v="0"/>
    <x v="0"/>
    <n v="20"/>
    <n v="5"/>
    <x v="0"/>
  </r>
  <r>
    <n v="3401"/>
    <s v="Helena Ribeiro"/>
    <x v="2"/>
    <x v="169"/>
    <x v="1"/>
    <n v="10"/>
    <x v="0"/>
    <x v="1"/>
    <x v="1"/>
    <x v="0"/>
    <n v="20"/>
    <n v="10"/>
    <x v="2"/>
  </r>
  <r>
    <n v="3402"/>
    <s v="Igor Santos"/>
    <x v="1"/>
    <x v="170"/>
    <x v="0"/>
    <n v="5"/>
    <x v="2"/>
    <x v="1"/>
    <x v="1"/>
    <x v="1"/>
    <n v="0"/>
    <n v="0"/>
    <x v="1"/>
  </r>
  <r>
    <n v="3403"/>
    <s v="João Carvalho"/>
    <x v="0"/>
    <x v="171"/>
    <x v="1"/>
    <n v="15"/>
    <x v="0"/>
    <x v="0"/>
    <x v="0"/>
    <x v="0"/>
    <n v="20"/>
    <n v="3"/>
    <x v="3"/>
  </r>
  <r>
    <n v="3404"/>
    <s v="Klara Fagundes"/>
    <x v="2"/>
    <x v="172"/>
    <x v="0"/>
    <n v="10"/>
    <x v="1"/>
    <x v="1"/>
    <x v="1"/>
    <x v="0"/>
    <n v="20"/>
    <n v="15"/>
    <x v="7"/>
  </r>
  <r>
    <n v="3405"/>
    <s v="Lúcia Mendonça"/>
    <x v="1"/>
    <x v="173"/>
    <x v="1"/>
    <n v="5"/>
    <x v="0"/>
    <x v="1"/>
    <x v="1"/>
    <x v="1"/>
    <n v="0"/>
    <n v="1"/>
    <x v="4"/>
  </r>
  <r>
    <n v="3406"/>
    <s v="Marcelo Novaes"/>
    <x v="1"/>
    <x v="174"/>
    <x v="0"/>
    <n v="5"/>
    <x v="0"/>
    <x v="1"/>
    <x v="1"/>
    <x v="1"/>
    <n v="0"/>
    <n v="0"/>
    <x v="1"/>
  </r>
  <r>
    <n v="3407"/>
    <s v="Nina Pacheco"/>
    <x v="0"/>
    <x v="175"/>
    <x v="1"/>
    <n v="15"/>
    <x v="2"/>
    <x v="0"/>
    <x v="0"/>
    <x v="0"/>
    <n v="20"/>
    <n v="7"/>
    <x v="12"/>
  </r>
  <r>
    <n v="3408"/>
    <s v="Olívia Rios"/>
    <x v="2"/>
    <x v="176"/>
    <x v="0"/>
    <n v="10"/>
    <x v="1"/>
    <x v="1"/>
    <x v="1"/>
    <x v="0"/>
    <n v="20"/>
    <n v="10"/>
    <x v="2"/>
  </r>
  <r>
    <n v="3409"/>
    <s v="Paulo Quintana"/>
    <x v="1"/>
    <x v="177"/>
    <x v="1"/>
    <n v="5"/>
    <x v="2"/>
    <x v="1"/>
    <x v="1"/>
    <x v="1"/>
    <n v="0"/>
    <n v="1"/>
    <x v="4"/>
  </r>
  <r>
    <n v="3410"/>
    <s v="Raquel Domingos"/>
    <x v="0"/>
    <x v="178"/>
    <x v="0"/>
    <n v="15"/>
    <x v="0"/>
    <x v="0"/>
    <x v="0"/>
    <x v="0"/>
    <n v="20"/>
    <n v="15"/>
    <x v="14"/>
  </r>
  <r>
    <n v="3411"/>
    <s v="Samuel Viana"/>
    <x v="2"/>
    <x v="179"/>
    <x v="1"/>
    <n v="10"/>
    <x v="0"/>
    <x v="1"/>
    <x v="1"/>
    <x v="0"/>
    <n v="20"/>
    <n v="5"/>
    <x v="13"/>
  </r>
  <r>
    <n v="3412"/>
    <s v="Tatiane Rocha"/>
    <x v="1"/>
    <x v="180"/>
    <x v="0"/>
    <n v="5"/>
    <x v="1"/>
    <x v="1"/>
    <x v="1"/>
    <x v="1"/>
    <n v="0"/>
    <n v="0"/>
    <x v="1"/>
  </r>
  <r>
    <n v="3413"/>
    <s v="Ulysses Farias"/>
    <x v="0"/>
    <x v="181"/>
    <x v="1"/>
    <n v="15"/>
    <x v="2"/>
    <x v="0"/>
    <x v="0"/>
    <x v="0"/>
    <n v="20"/>
    <n v="20"/>
    <x v="8"/>
  </r>
  <r>
    <n v="3414"/>
    <s v="Vanessa Moreira"/>
    <x v="2"/>
    <x v="182"/>
    <x v="0"/>
    <n v="10"/>
    <x v="2"/>
    <x v="1"/>
    <x v="1"/>
    <x v="0"/>
    <n v="20"/>
    <n v="12"/>
    <x v="10"/>
  </r>
  <r>
    <n v="3415"/>
    <s v="William Carvalho"/>
    <x v="1"/>
    <x v="183"/>
    <x v="1"/>
    <n v="5"/>
    <x v="0"/>
    <x v="1"/>
    <x v="1"/>
    <x v="1"/>
    <n v="0"/>
    <n v="2"/>
    <x v="11"/>
  </r>
  <r>
    <n v="3416"/>
    <s v="Ximena Barros"/>
    <x v="0"/>
    <x v="184"/>
    <x v="0"/>
    <n v="15"/>
    <x v="1"/>
    <x v="0"/>
    <x v="0"/>
    <x v="0"/>
    <n v="20"/>
    <n v="5"/>
    <x v="0"/>
  </r>
  <r>
    <n v="3417"/>
    <s v="Yara Machado"/>
    <x v="2"/>
    <x v="185"/>
    <x v="1"/>
    <n v="10"/>
    <x v="0"/>
    <x v="1"/>
    <x v="1"/>
    <x v="0"/>
    <n v="20"/>
    <n v="10"/>
    <x v="2"/>
  </r>
  <r>
    <n v="3418"/>
    <s v="Zacarias Costa"/>
    <x v="1"/>
    <x v="186"/>
    <x v="0"/>
    <n v="5"/>
    <x v="2"/>
    <x v="1"/>
    <x v="1"/>
    <x v="1"/>
    <n v="0"/>
    <n v="0"/>
    <x v="1"/>
  </r>
  <r>
    <n v="3419"/>
    <s v="André Lopes"/>
    <x v="0"/>
    <x v="187"/>
    <x v="1"/>
    <n v="15"/>
    <x v="0"/>
    <x v="0"/>
    <x v="0"/>
    <x v="0"/>
    <n v="20"/>
    <n v="3"/>
    <x v="3"/>
  </r>
  <r>
    <n v="3420"/>
    <s v="Beatriz Souza"/>
    <x v="2"/>
    <x v="188"/>
    <x v="0"/>
    <n v="10"/>
    <x v="1"/>
    <x v="1"/>
    <x v="1"/>
    <x v="0"/>
    <n v="20"/>
    <n v="15"/>
    <x v="7"/>
  </r>
  <r>
    <n v="3421"/>
    <s v="Caio Pereira"/>
    <x v="1"/>
    <x v="189"/>
    <x v="1"/>
    <n v="5"/>
    <x v="0"/>
    <x v="1"/>
    <x v="1"/>
    <x v="1"/>
    <n v="0"/>
    <n v="1"/>
    <x v="4"/>
  </r>
  <r>
    <n v="3422"/>
    <s v="Daniela Araújo"/>
    <x v="0"/>
    <x v="190"/>
    <x v="0"/>
    <n v="15"/>
    <x v="2"/>
    <x v="0"/>
    <x v="0"/>
    <x v="0"/>
    <n v="20"/>
    <n v="7"/>
    <x v="12"/>
  </r>
  <r>
    <n v="3423"/>
    <s v="Eduardo Santos"/>
    <x v="2"/>
    <x v="191"/>
    <x v="1"/>
    <n v="10"/>
    <x v="0"/>
    <x v="1"/>
    <x v="1"/>
    <x v="0"/>
    <n v="20"/>
    <n v="10"/>
    <x v="2"/>
  </r>
  <r>
    <n v="3424"/>
    <s v="Fernanda Lima"/>
    <x v="1"/>
    <x v="192"/>
    <x v="0"/>
    <n v="5"/>
    <x v="1"/>
    <x v="1"/>
    <x v="1"/>
    <x v="1"/>
    <n v="0"/>
    <n v="0"/>
    <x v="1"/>
  </r>
  <r>
    <n v="3425"/>
    <s v="Gabriel Teixeira"/>
    <x v="0"/>
    <x v="193"/>
    <x v="1"/>
    <n v="15"/>
    <x v="0"/>
    <x v="0"/>
    <x v="0"/>
    <x v="0"/>
    <n v="20"/>
    <n v="20"/>
    <x v="8"/>
  </r>
  <r>
    <n v="3426"/>
    <s v="Helena Ribeiro"/>
    <x v="2"/>
    <x v="194"/>
    <x v="0"/>
    <n v="10"/>
    <x v="2"/>
    <x v="1"/>
    <x v="1"/>
    <x v="0"/>
    <n v="20"/>
    <n v="15"/>
    <x v="7"/>
  </r>
  <r>
    <n v="3427"/>
    <s v="Igor Mendes"/>
    <x v="1"/>
    <x v="195"/>
    <x v="1"/>
    <n v="5"/>
    <x v="0"/>
    <x v="1"/>
    <x v="1"/>
    <x v="1"/>
    <n v="0"/>
    <n v="1"/>
    <x v="4"/>
  </r>
  <r>
    <n v="3428"/>
    <s v="Joana Silveira"/>
    <x v="0"/>
    <x v="196"/>
    <x v="0"/>
    <n v="15"/>
    <x v="1"/>
    <x v="0"/>
    <x v="0"/>
    <x v="0"/>
    <n v="20"/>
    <n v="3"/>
    <x v="3"/>
  </r>
  <r>
    <n v="3429"/>
    <s v="Lucas Martins"/>
    <x v="2"/>
    <x v="197"/>
    <x v="1"/>
    <n v="10"/>
    <x v="0"/>
    <x v="1"/>
    <x v="1"/>
    <x v="0"/>
    <n v="20"/>
    <n v="10"/>
    <x v="2"/>
  </r>
  <r>
    <n v="3430"/>
    <s v="Marcela Gouveia"/>
    <x v="1"/>
    <x v="198"/>
    <x v="0"/>
    <n v="5"/>
    <x v="2"/>
    <x v="1"/>
    <x v="1"/>
    <x v="1"/>
    <n v="0"/>
    <n v="0"/>
    <x v="1"/>
  </r>
  <r>
    <n v="3431"/>
    <s v="Nicolas Borges"/>
    <x v="0"/>
    <x v="199"/>
    <x v="1"/>
    <n v="15"/>
    <x v="0"/>
    <x v="0"/>
    <x v="0"/>
    <x v="0"/>
    <n v="20"/>
    <n v="15"/>
    <x v="14"/>
  </r>
  <r>
    <n v="3432"/>
    <s v="Olivia Freitas"/>
    <x v="2"/>
    <x v="200"/>
    <x v="0"/>
    <n v="10"/>
    <x v="1"/>
    <x v="1"/>
    <x v="1"/>
    <x v="0"/>
    <n v="20"/>
    <n v="15"/>
    <x v="7"/>
  </r>
  <r>
    <n v="3433"/>
    <s v="Paulo Nogueira"/>
    <x v="1"/>
    <x v="201"/>
    <x v="1"/>
    <n v="5"/>
    <x v="0"/>
    <x v="1"/>
    <x v="1"/>
    <x v="1"/>
    <n v="0"/>
    <n v="1"/>
    <x v="4"/>
  </r>
  <r>
    <n v="3434"/>
    <s v="Raquel Andrade"/>
    <x v="0"/>
    <x v="202"/>
    <x v="0"/>
    <n v="15"/>
    <x v="2"/>
    <x v="0"/>
    <x v="0"/>
    <x v="0"/>
    <n v="20"/>
    <n v="7"/>
    <x v="12"/>
  </r>
  <r>
    <n v="3435"/>
    <s v="Sônia Carvalho"/>
    <x v="2"/>
    <x v="203"/>
    <x v="1"/>
    <n v="10"/>
    <x v="0"/>
    <x v="1"/>
    <x v="1"/>
    <x v="0"/>
    <n v="20"/>
    <n v="10"/>
    <x v="2"/>
  </r>
  <r>
    <n v="3436"/>
    <s v="Tiago Rodrigues"/>
    <x v="1"/>
    <x v="204"/>
    <x v="0"/>
    <n v="5"/>
    <x v="0"/>
    <x v="1"/>
    <x v="1"/>
    <x v="1"/>
    <n v="0"/>
    <n v="0"/>
    <x v="1"/>
  </r>
  <r>
    <n v="3437"/>
    <s v="Ursula Monteiro"/>
    <x v="0"/>
    <x v="205"/>
    <x v="1"/>
    <n v="15"/>
    <x v="2"/>
    <x v="0"/>
    <x v="0"/>
    <x v="0"/>
    <n v="20"/>
    <n v="7"/>
    <x v="12"/>
  </r>
  <r>
    <n v="3438"/>
    <s v="Vanessa Pereira"/>
    <x v="2"/>
    <x v="206"/>
    <x v="0"/>
    <n v="10"/>
    <x v="1"/>
    <x v="1"/>
    <x v="1"/>
    <x v="0"/>
    <n v="20"/>
    <n v="10"/>
    <x v="2"/>
  </r>
  <r>
    <n v="3439"/>
    <s v="Walter Silva"/>
    <x v="1"/>
    <x v="207"/>
    <x v="1"/>
    <n v="5"/>
    <x v="2"/>
    <x v="1"/>
    <x v="1"/>
    <x v="1"/>
    <n v="0"/>
    <n v="1"/>
    <x v="4"/>
  </r>
  <r>
    <n v="3440"/>
    <s v="Xavier Almeida"/>
    <x v="0"/>
    <x v="208"/>
    <x v="0"/>
    <n v="15"/>
    <x v="0"/>
    <x v="0"/>
    <x v="0"/>
    <x v="0"/>
    <n v="20"/>
    <n v="15"/>
    <x v="14"/>
  </r>
  <r>
    <n v="3441"/>
    <s v="Yasmine Correia"/>
    <x v="2"/>
    <x v="209"/>
    <x v="1"/>
    <n v="10"/>
    <x v="0"/>
    <x v="1"/>
    <x v="1"/>
    <x v="0"/>
    <n v="20"/>
    <n v="5"/>
    <x v="13"/>
  </r>
  <r>
    <n v="3442"/>
    <s v="Zacarias Almeida"/>
    <x v="1"/>
    <x v="210"/>
    <x v="0"/>
    <n v="5"/>
    <x v="1"/>
    <x v="1"/>
    <x v="1"/>
    <x v="1"/>
    <n v="0"/>
    <n v="0"/>
    <x v="1"/>
  </r>
  <r>
    <n v="3443"/>
    <s v="Amanda Costa"/>
    <x v="0"/>
    <x v="211"/>
    <x v="1"/>
    <n v="15"/>
    <x v="2"/>
    <x v="0"/>
    <x v="0"/>
    <x v="0"/>
    <n v="20"/>
    <n v="20"/>
    <x v="8"/>
  </r>
  <r>
    <n v="3444"/>
    <s v="Bruno Ferreira"/>
    <x v="2"/>
    <x v="212"/>
    <x v="0"/>
    <n v="10"/>
    <x v="2"/>
    <x v="1"/>
    <x v="1"/>
    <x v="0"/>
    <n v="20"/>
    <n v="12"/>
    <x v="10"/>
  </r>
  <r>
    <n v="3445"/>
    <s v="Carla Dias"/>
    <x v="1"/>
    <x v="213"/>
    <x v="1"/>
    <n v="5"/>
    <x v="0"/>
    <x v="1"/>
    <x v="1"/>
    <x v="1"/>
    <n v="0"/>
    <n v="2"/>
    <x v="11"/>
  </r>
  <r>
    <n v="3446"/>
    <s v="Diogo Martins"/>
    <x v="0"/>
    <x v="214"/>
    <x v="0"/>
    <n v="15"/>
    <x v="1"/>
    <x v="0"/>
    <x v="0"/>
    <x v="0"/>
    <n v="20"/>
    <n v="5"/>
    <x v="0"/>
  </r>
  <r>
    <n v="3447"/>
    <s v="Elisa Campos"/>
    <x v="2"/>
    <x v="215"/>
    <x v="1"/>
    <n v="10"/>
    <x v="0"/>
    <x v="1"/>
    <x v="1"/>
    <x v="0"/>
    <n v="20"/>
    <n v="10"/>
    <x v="2"/>
  </r>
  <r>
    <n v="3448"/>
    <s v="Fabiana Lima"/>
    <x v="1"/>
    <x v="216"/>
    <x v="0"/>
    <n v="5"/>
    <x v="2"/>
    <x v="1"/>
    <x v="1"/>
    <x v="1"/>
    <n v="0"/>
    <n v="0"/>
    <x v="1"/>
  </r>
  <r>
    <n v="3449"/>
    <s v="Gabriel Santos"/>
    <x v="0"/>
    <x v="217"/>
    <x v="1"/>
    <n v="15"/>
    <x v="0"/>
    <x v="0"/>
    <x v="0"/>
    <x v="0"/>
    <n v="20"/>
    <n v="3"/>
    <x v="3"/>
  </r>
  <r>
    <n v="3450"/>
    <s v="Helena Ferreira"/>
    <x v="2"/>
    <x v="218"/>
    <x v="0"/>
    <n v="10"/>
    <x v="1"/>
    <x v="1"/>
    <x v="1"/>
    <x v="0"/>
    <n v="20"/>
    <n v="15"/>
    <x v="7"/>
  </r>
  <r>
    <n v="3451"/>
    <s v="Ígor Nunes"/>
    <x v="1"/>
    <x v="219"/>
    <x v="1"/>
    <n v="5"/>
    <x v="0"/>
    <x v="1"/>
    <x v="1"/>
    <x v="1"/>
    <n v="0"/>
    <n v="1"/>
    <x v="4"/>
  </r>
  <r>
    <n v="3452"/>
    <s v="Joana Silveira"/>
    <x v="0"/>
    <x v="220"/>
    <x v="0"/>
    <n v="15"/>
    <x v="2"/>
    <x v="0"/>
    <x v="0"/>
    <x v="0"/>
    <n v="20"/>
    <n v="7"/>
    <x v="12"/>
  </r>
  <r>
    <n v="3453"/>
    <s v="Kléber Oliveira"/>
    <x v="2"/>
    <x v="221"/>
    <x v="1"/>
    <n v="10"/>
    <x v="0"/>
    <x v="1"/>
    <x v="1"/>
    <x v="0"/>
    <n v="20"/>
    <n v="10"/>
    <x v="2"/>
  </r>
  <r>
    <n v="3454"/>
    <s v="Luciana Morais"/>
    <x v="1"/>
    <x v="222"/>
    <x v="0"/>
    <n v="5"/>
    <x v="1"/>
    <x v="1"/>
    <x v="1"/>
    <x v="1"/>
    <n v="0"/>
    <n v="0"/>
    <x v="1"/>
  </r>
  <r>
    <n v="3455"/>
    <s v="Marcos Vinícius"/>
    <x v="0"/>
    <x v="223"/>
    <x v="1"/>
    <n v="15"/>
    <x v="0"/>
    <x v="0"/>
    <x v="0"/>
    <x v="0"/>
    <n v="20"/>
    <n v="20"/>
    <x v="8"/>
  </r>
  <r>
    <n v="3456"/>
    <s v="Natália Barros"/>
    <x v="2"/>
    <x v="224"/>
    <x v="0"/>
    <n v="10"/>
    <x v="2"/>
    <x v="1"/>
    <x v="1"/>
    <x v="0"/>
    <n v="20"/>
    <n v="15"/>
    <x v="7"/>
  </r>
  <r>
    <n v="3457"/>
    <s v="Oscar Sampaio"/>
    <x v="1"/>
    <x v="225"/>
    <x v="1"/>
    <n v="5"/>
    <x v="0"/>
    <x v="1"/>
    <x v="1"/>
    <x v="1"/>
    <n v="0"/>
    <n v="1"/>
    <x v="4"/>
  </r>
  <r>
    <n v="3458"/>
    <s v="Patrícia Leite"/>
    <x v="0"/>
    <x v="226"/>
    <x v="0"/>
    <n v="15"/>
    <x v="1"/>
    <x v="0"/>
    <x v="0"/>
    <x v="0"/>
    <n v="20"/>
    <n v="3"/>
    <x v="3"/>
  </r>
  <r>
    <n v="3459"/>
    <s v="Quênia Rocha"/>
    <x v="2"/>
    <x v="227"/>
    <x v="1"/>
    <n v="10"/>
    <x v="0"/>
    <x v="1"/>
    <x v="1"/>
    <x v="0"/>
    <n v="20"/>
    <n v="10"/>
    <x v="2"/>
  </r>
  <r>
    <n v="3460"/>
    <s v="Rafael Torres"/>
    <x v="1"/>
    <x v="228"/>
    <x v="0"/>
    <n v="5"/>
    <x v="2"/>
    <x v="1"/>
    <x v="1"/>
    <x v="1"/>
    <n v="0"/>
    <n v="0"/>
    <x v="1"/>
  </r>
  <r>
    <n v="3461"/>
    <s v="Sandra Gouveia"/>
    <x v="0"/>
    <x v="229"/>
    <x v="1"/>
    <n v="15"/>
    <x v="0"/>
    <x v="0"/>
    <x v="0"/>
    <x v="0"/>
    <n v="20"/>
    <n v="15"/>
    <x v="14"/>
  </r>
  <r>
    <n v="3462"/>
    <s v="Tiago Lacerda"/>
    <x v="2"/>
    <x v="230"/>
    <x v="0"/>
    <n v="10"/>
    <x v="1"/>
    <x v="1"/>
    <x v="1"/>
    <x v="0"/>
    <n v="20"/>
    <n v="15"/>
    <x v="7"/>
  </r>
  <r>
    <n v="3463"/>
    <s v="Ursula Fonseca"/>
    <x v="1"/>
    <x v="231"/>
    <x v="1"/>
    <n v="5"/>
    <x v="0"/>
    <x v="1"/>
    <x v="1"/>
    <x v="1"/>
    <n v="0"/>
    <n v="1"/>
    <x v="4"/>
  </r>
  <r>
    <n v="3464"/>
    <s v="Vanessa Andrade"/>
    <x v="0"/>
    <x v="232"/>
    <x v="0"/>
    <n v="15"/>
    <x v="2"/>
    <x v="0"/>
    <x v="0"/>
    <x v="0"/>
    <n v="20"/>
    <n v="7"/>
    <x v="12"/>
  </r>
  <r>
    <n v="3465"/>
    <s v="William Castro"/>
    <x v="2"/>
    <x v="233"/>
    <x v="1"/>
    <n v="10"/>
    <x v="0"/>
    <x v="1"/>
    <x v="1"/>
    <x v="0"/>
    <n v="20"/>
    <n v="10"/>
    <x v="2"/>
  </r>
  <r>
    <n v="3466"/>
    <s v="Xavier Monteiro"/>
    <x v="1"/>
    <x v="234"/>
    <x v="0"/>
    <n v="5"/>
    <x v="1"/>
    <x v="1"/>
    <x v="1"/>
    <x v="1"/>
    <n v="0"/>
    <n v="0"/>
    <x v="1"/>
  </r>
  <r>
    <n v="3467"/>
    <s v="Yasmin Figueira"/>
    <x v="0"/>
    <x v="235"/>
    <x v="1"/>
    <n v="15"/>
    <x v="0"/>
    <x v="0"/>
    <x v="0"/>
    <x v="0"/>
    <n v="20"/>
    <n v="15"/>
    <x v="14"/>
  </r>
  <r>
    <n v="3468"/>
    <s v="Zacarias Mendonça"/>
    <x v="2"/>
    <x v="236"/>
    <x v="0"/>
    <n v="10"/>
    <x v="2"/>
    <x v="1"/>
    <x v="1"/>
    <x v="0"/>
    <n v="20"/>
    <n v="12"/>
    <x v="10"/>
  </r>
  <r>
    <n v="3469"/>
    <s v="Amanda Menezes"/>
    <x v="1"/>
    <x v="237"/>
    <x v="1"/>
    <n v="5"/>
    <x v="0"/>
    <x v="1"/>
    <x v="1"/>
    <x v="1"/>
    <n v="0"/>
    <n v="2"/>
    <x v="11"/>
  </r>
  <r>
    <n v="3470"/>
    <s v="Bruno Santos"/>
    <x v="0"/>
    <x v="238"/>
    <x v="0"/>
    <n v="15"/>
    <x v="1"/>
    <x v="0"/>
    <x v="0"/>
    <x v="0"/>
    <n v="20"/>
    <n v="5"/>
    <x v="0"/>
  </r>
  <r>
    <n v="3471"/>
    <s v="Carla Ferreira"/>
    <x v="2"/>
    <x v="239"/>
    <x v="1"/>
    <n v="10"/>
    <x v="0"/>
    <x v="1"/>
    <x v="1"/>
    <x v="0"/>
    <n v="20"/>
    <n v="10"/>
    <x v="2"/>
  </r>
  <r>
    <n v="3472"/>
    <s v="Diogo Alves"/>
    <x v="1"/>
    <x v="240"/>
    <x v="0"/>
    <n v="5"/>
    <x v="2"/>
    <x v="1"/>
    <x v="1"/>
    <x v="1"/>
    <n v="0"/>
    <n v="0"/>
    <x v="1"/>
  </r>
  <r>
    <n v="3473"/>
    <s v="Elisa Neves"/>
    <x v="0"/>
    <x v="241"/>
    <x v="1"/>
    <n v="15"/>
    <x v="0"/>
    <x v="0"/>
    <x v="0"/>
    <x v="0"/>
    <n v="20"/>
    <n v="3"/>
    <x v="3"/>
  </r>
  <r>
    <n v="3474"/>
    <s v="Fabiano Pires"/>
    <x v="2"/>
    <x v="242"/>
    <x v="0"/>
    <n v="10"/>
    <x v="1"/>
    <x v="1"/>
    <x v="1"/>
    <x v="0"/>
    <n v="20"/>
    <n v="15"/>
    <x v="7"/>
  </r>
  <r>
    <n v="3475"/>
    <s v="Giovana Ribeiro"/>
    <x v="1"/>
    <x v="243"/>
    <x v="1"/>
    <n v="5"/>
    <x v="0"/>
    <x v="1"/>
    <x v="1"/>
    <x v="1"/>
    <n v="0"/>
    <n v="1"/>
    <x v="4"/>
  </r>
  <r>
    <n v="3476"/>
    <s v="Hélio Costa"/>
    <x v="0"/>
    <x v="244"/>
    <x v="0"/>
    <n v="15"/>
    <x v="2"/>
    <x v="0"/>
    <x v="0"/>
    <x v="0"/>
    <n v="20"/>
    <n v="7"/>
    <x v="12"/>
  </r>
  <r>
    <n v="3477"/>
    <s v="Íris Loureiro"/>
    <x v="2"/>
    <x v="245"/>
    <x v="1"/>
    <n v="10"/>
    <x v="0"/>
    <x v="1"/>
    <x v="1"/>
    <x v="0"/>
    <n v="20"/>
    <n v="10"/>
    <x v="2"/>
  </r>
  <r>
    <n v="3478"/>
    <s v="João Pereira"/>
    <x v="1"/>
    <x v="246"/>
    <x v="0"/>
    <n v="5"/>
    <x v="1"/>
    <x v="1"/>
    <x v="1"/>
    <x v="1"/>
    <n v="0"/>
    <n v="0"/>
    <x v="1"/>
  </r>
  <r>
    <n v="3479"/>
    <s v="Klara Silva"/>
    <x v="0"/>
    <x v="247"/>
    <x v="1"/>
    <n v="15"/>
    <x v="0"/>
    <x v="0"/>
    <x v="0"/>
    <x v="0"/>
    <n v="20"/>
    <n v="20"/>
    <x v="8"/>
  </r>
  <r>
    <n v="3480"/>
    <s v="Luciana Barros"/>
    <x v="2"/>
    <x v="248"/>
    <x v="0"/>
    <n v="10"/>
    <x v="2"/>
    <x v="1"/>
    <x v="1"/>
    <x v="0"/>
    <n v="20"/>
    <n v="15"/>
    <x v="7"/>
  </r>
  <r>
    <n v="3481"/>
    <s v="Marcos Gomes"/>
    <x v="1"/>
    <x v="249"/>
    <x v="1"/>
    <n v="5"/>
    <x v="0"/>
    <x v="1"/>
    <x v="1"/>
    <x v="1"/>
    <n v="0"/>
    <n v="1"/>
    <x v="4"/>
  </r>
  <r>
    <n v="3482"/>
    <s v="Natália Soares"/>
    <x v="0"/>
    <x v="250"/>
    <x v="0"/>
    <n v="15"/>
    <x v="1"/>
    <x v="0"/>
    <x v="0"/>
    <x v="0"/>
    <n v="20"/>
    <n v="3"/>
    <x v="3"/>
  </r>
  <r>
    <n v="3483"/>
    <s v="Oscar Machado"/>
    <x v="2"/>
    <x v="251"/>
    <x v="1"/>
    <n v="10"/>
    <x v="0"/>
    <x v="1"/>
    <x v="1"/>
    <x v="0"/>
    <n v="20"/>
    <n v="10"/>
    <x v="2"/>
  </r>
  <r>
    <n v="3484"/>
    <s v="Patrícia Lima"/>
    <x v="1"/>
    <x v="252"/>
    <x v="0"/>
    <n v="5"/>
    <x v="2"/>
    <x v="1"/>
    <x v="1"/>
    <x v="1"/>
    <n v="0"/>
    <n v="0"/>
    <x v="1"/>
  </r>
  <r>
    <n v="3485"/>
    <s v="Quirino Neto"/>
    <x v="0"/>
    <x v="253"/>
    <x v="1"/>
    <n v="15"/>
    <x v="0"/>
    <x v="0"/>
    <x v="0"/>
    <x v="0"/>
    <n v="20"/>
    <n v="15"/>
    <x v="14"/>
  </r>
  <r>
    <n v="3486"/>
    <s v="Rafaela Souza"/>
    <x v="1"/>
    <x v="254"/>
    <x v="0"/>
    <n v="5"/>
    <x v="0"/>
    <x v="1"/>
    <x v="1"/>
    <x v="1"/>
    <n v="0"/>
    <n v="0"/>
    <x v="1"/>
  </r>
  <r>
    <n v="3487"/>
    <s v="Sandro Almeida"/>
    <x v="0"/>
    <x v="255"/>
    <x v="1"/>
    <n v="15"/>
    <x v="2"/>
    <x v="0"/>
    <x v="0"/>
    <x v="0"/>
    <n v="20"/>
    <n v="7"/>
    <x v="12"/>
  </r>
  <r>
    <n v="3488"/>
    <s v="Tânia Ribeiro"/>
    <x v="2"/>
    <x v="256"/>
    <x v="0"/>
    <n v="10"/>
    <x v="1"/>
    <x v="1"/>
    <x v="1"/>
    <x v="0"/>
    <n v="20"/>
    <n v="10"/>
    <x v="2"/>
  </r>
  <r>
    <n v="3489"/>
    <s v="Ugo Dias"/>
    <x v="1"/>
    <x v="257"/>
    <x v="1"/>
    <n v="5"/>
    <x v="2"/>
    <x v="1"/>
    <x v="1"/>
    <x v="1"/>
    <n v="0"/>
    <n v="1"/>
    <x v="4"/>
  </r>
  <r>
    <n v="3490"/>
    <s v="Valéria Lima"/>
    <x v="0"/>
    <x v="258"/>
    <x v="0"/>
    <n v="15"/>
    <x v="0"/>
    <x v="0"/>
    <x v="0"/>
    <x v="0"/>
    <n v="20"/>
    <n v="15"/>
    <x v="14"/>
  </r>
  <r>
    <n v="3491"/>
    <s v="William Fernandes"/>
    <x v="2"/>
    <x v="259"/>
    <x v="1"/>
    <n v="10"/>
    <x v="0"/>
    <x v="1"/>
    <x v="1"/>
    <x v="0"/>
    <n v="20"/>
    <n v="5"/>
    <x v="13"/>
  </r>
  <r>
    <n v="3492"/>
    <s v="Xuxa Mendes"/>
    <x v="1"/>
    <x v="260"/>
    <x v="0"/>
    <n v="5"/>
    <x v="1"/>
    <x v="1"/>
    <x v="1"/>
    <x v="1"/>
    <n v="0"/>
    <n v="0"/>
    <x v="1"/>
  </r>
  <r>
    <n v="3493"/>
    <s v="Ygor Farias"/>
    <x v="0"/>
    <x v="261"/>
    <x v="1"/>
    <n v="15"/>
    <x v="2"/>
    <x v="0"/>
    <x v="0"/>
    <x v="0"/>
    <n v="20"/>
    <n v="20"/>
    <x v="8"/>
  </r>
  <r>
    <n v="3494"/>
    <s v="Zilda Barros"/>
    <x v="2"/>
    <x v="262"/>
    <x v="0"/>
    <n v="10"/>
    <x v="2"/>
    <x v="1"/>
    <x v="1"/>
    <x v="0"/>
    <n v="20"/>
    <n v="12"/>
    <x v="10"/>
  </r>
  <r>
    <n v="3495"/>
    <s v="Amanda Santos"/>
    <x v="1"/>
    <x v="263"/>
    <x v="1"/>
    <n v="5"/>
    <x v="0"/>
    <x v="1"/>
    <x v="1"/>
    <x v="1"/>
    <n v="0"/>
    <n v="2"/>
    <x v="11"/>
  </r>
  <r>
    <n v="3496"/>
    <s v="Bruno Costa"/>
    <x v="0"/>
    <x v="264"/>
    <x v="0"/>
    <n v="15"/>
    <x v="1"/>
    <x v="0"/>
    <x v="0"/>
    <x v="0"/>
    <n v="20"/>
    <n v="5"/>
    <x v="0"/>
  </r>
  <r>
    <n v="3497"/>
    <s v="Carla Rodrigues"/>
    <x v="2"/>
    <x v="265"/>
    <x v="1"/>
    <n v="10"/>
    <x v="0"/>
    <x v="1"/>
    <x v="1"/>
    <x v="0"/>
    <n v="20"/>
    <n v="10"/>
    <x v="2"/>
  </r>
  <r>
    <n v="3498"/>
    <s v="Diogo Pereira"/>
    <x v="1"/>
    <x v="266"/>
    <x v="0"/>
    <n v="5"/>
    <x v="2"/>
    <x v="1"/>
    <x v="1"/>
    <x v="1"/>
    <n v="0"/>
    <n v="0"/>
    <x v="1"/>
  </r>
  <r>
    <n v="3499"/>
    <s v="Elisa Correia"/>
    <x v="0"/>
    <x v="267"/>
    <x v="1"/>
    <n v="15"/>
    <x v="0"/>
    <x v="0"/>
    <x v="0"/>
    <x v="0"/>
    <n v="20"/>
    <n v="3"/>
    <x v="3"/>
  </r>
  <r>
    <n v="3500"/>
    <s v="Fábio Lourenço"/>
    <x v="2"/>
    <x v="268"/>
    <x v="0"/>
    <n v="10"/>
    <x v="1"/>
    <x v="1"/>
    <x v="1"/>
    <x v="0"/>
    <n v="20"/>
    <n v="15"/>
    <x v="7"/>
  </r>
  <r>
    <n v="3501"/>
    <s v="Gabriela Neves"/>
    <x v="1"/>
    <x v="269"/>
    <x v="1"/>
    <n v="5"/>
    <x v="0"/>
    <x v="1"/>
    <x v="1"/>
    <x v="1"/>
    <n v="0"/>
    <n v="1"/>
    <x v="4"/>
  </r>
  <r>
    <n v="3502"/>
    <s v="Henrique Gonçalves"/>
    <x v="0"/>
    <x v="270"/>
    <x v="0"/>
    <n v="15"/>
    <x v="2"/>
    <x v="0"/>
    <x v="0"/>
    <x v="0"/>
    <n v="20"/>
    <n v="7"/>
    <x v="12"/>
  </r>
  <r>
    <n v="3503"/>
    <s v="Íris Santos"/>
    <x v="2"/>
    <x v="271"/>
    <x v="1"/>
    <n v="10"/>
    <x v="0"/>
    <x v="1"/>
    <x v="1"/>
    <x v="0"/>
    <n v="20"/>
    <n v="10"/>
    <x v="2"/>
  </r>
  <r>
    <n v="3504"/>
    <s v="João Marcelo Alves"/>
    <x v="1"/>
    <x v="272"/>
    <x v="0"/>
    <n v="5"/>
    <x v="1"/>
    <x v="1"/>
    <x v="1"/>
    <x v="1"/>
    <n v="0"/>
    <n v="0"/>
    <x v="1"/>
  </r>
  <r>
    <n v="3505"/>
    <s v="Klara Fonseca"/>
    <x v="0"/>
    <x v="273"/>
    <x v="1"/>
    <n v="15"/>
    <x v="0"/>
    <x v="0"/>
    <x v="0"/>
    <x v="0"/>
    <n v="20"/>
    <n v="20"/>
    <x v="8"/>
  </r>
  <r>
    <n v="3506"/>
    <s v="Lucas Mendonça"/>
    <x v="2"/>
    <x v="274"/>
    <x v="0"/>
    <n v="10"/>
    <x v="2"/>
    <x v="1"/>
    <x v="1"/>
    <x v="0"/>
    <n v="20"/>
    <n v="15"/>
    <x v="7"/>
  </r>
  <r>
    <n v="3507"/>
    <s v="Marcela Torres"/>
    <x v="1"/>
    <x v="275"/>
    <x v="1"/>
    <n v="5"/>
    <x v="0"/>
    <x v="1"/>
    <x v="1"/>
    <x v="1"/>
    <n v="0"/>
    <n v="1"/>
    <x v="4"/>
  </r>
  <r>
    <n v="3508"/>
    <s v="Natália Castro"/>
    <x v="0"/>
    <x v="276"/>
    <x v="0"/>
    <n v="15"/>
    <x v="1"/>
    <x v="0"/>
    <x v="0"/>
    <x v="0"/>
    <n v="20"/>
    <n v="3"/>
    <x v="3"/>
  </r>
  <r>
    <n v="3509"/>
    <s v="Oscar Martins"/>
    <x v="2"/>
    <x v="277"/>
    <x v="1"/>
    <n v="10"/>
    <x v="0"/>
    <x v="1"/>
    <x v="1"/>
    <x v="0"/>
    <n v="20"/>
    <n v="10"/>
    <x v="2"/>
  </r>
  <r>
    <n v="3510"/>
    <s v="Patrícia Oliveira"/>
    <x v="1"/>
    <x v="278"/>
    <x v="0"/>
    <n v="5"/>
    <x v="2"/>
    <x v="1"/>
    <x v="1"/>
    <x v="1"/>
    <n v="0"/>
    <n v="0"/>
    <x v="1"/>
  </r>
  <r>
    <n v="3511"/>
    <s v="Quentin Nogueira"/>
    <x v="0"/>
    <x v="279"/>
    <x v="1"/>
    <n v="15"/>
    <x v="0"/>
    <x v="0"/>
    <x v="0"/>
    <x v="0"/>
    <n v="20"/>
    <n v="15"/>
    <x v="14"/>
  </r>
  <r>
    <n v="3512"/>
    <s v="Raquel Silva"/>
    <x v="2"/>
    <x v="280"/>
    <x v="0"/>
    <n v="10"/>
    <x v="1"/>
    <x v="1"/>
    <x v="1"/>
    <x v="0"/>
    <n v="20"/>
    <n v="15"/>
    <x v="7"/>
  </r>
  <r>
    <n v="3513"/>
    <s v="Sandro Gomes"/>
    <x v="1"/>
    <x v="281"/>
    <x v="1"/>
    <n v="5"/>
    <x v="0"/>
    <x v="1"/>
    <x v="1"/>
    <x v="1"/>
    <n v="0"/>
    <n v="1"/>
    <x v="4"/>
  </r>
  <r>
    <n v="3514"/>
    <s v="Tânia Machado"/>
    <x v="0"/>
    <x v="282"/>
    <x v="0"/>
    <n v="15"/>
    <x v="2"/>
    <x v="0"/>
    <x v="0"/>
    <x v="0"/>
    <n v="20"/>
    <n v="7"/>
    <x v="12"/>
  </r>
  <r>
    <n v="3515"/>
    <s v="Ursula Silva"/>
    <x v="2"/>
    <x v="283"/>
    <x v="1"/>
    <n v="10"/>
    <x v="0"/>
    <x v="1"/>
    <x v="1"/>
    <x v="0"/>
    <n v="20"/>
    <n v="10"/>
    <x v="2"/>
  </r>
  <r>
    <n v="3516"/>
    <s v="Vanessa Moraes"/>
    <x v="1"/>
    <x v="284"/>
    <x v="0"/>
    <n v="5"/>
    <x v="1"/>
    <x v="1"/>
    <x v="1"/>
    <x v="1"/>
    <n v="0"/>
    <n v="0"/>
    <x v="1"/>
  </r>
  <r>
    <n v="3517"/>
    <s v="William Carvalho"/>
    <x v="0"/>
    <x v="285"/>
    <x v="1"/>
    <n v="15"/>
    <x v="0"/>
    <x v="0"/>
    <x v="0"/>
    <x v="0"/>
    <n v="20"/>
    <n v="20"/>
    <x v="8"/>
  </r>
  <r>
    <n v="3518"/>
    <s v="Xavier Reis"/>
    <x v="2"/>
    <x v="286"/>
    <x v="0"/>
    <n v="10"/>
    <x v="2"/>
    <x v="1"/>
    <x v="1"/>
    <x v="0"/>
    <n v="20"/>
    <n v="12"/>
    <x v="10"/>
  </r>
  <r>
    <n v="3519"/>
    <s v="Yasmin Rocha"/>
    <x v="1"/>
    <x v="287"/>
    <x v="1"/>
    <n v="5"/>
    <x v="0"/>
    <x v="1"/>
    <x v="1"/>
    <x v="1"/>
    <n v="0"/>
    <n v="2"/>
    <x v="11"/>
  </r>
  <r>
    <n v="3520"/>
    <s v="Zacarias Duarte"/>
    <x v="0"/>
    <x v="288"/>
    <x v="0"/>
    <n v="15"/>
    <x v="1"/>
    <x v="0"/>
    <x v="0"/>
    <x v="0"/>
    <n v="20"/>
    <n v="5"/>
    <x v="0"/>
  </r>
  <r>
    <n v="3521"/>
    <s v="Amanda Freitas"/>
    <x v="2"/>
    <x v="289"/>
    <x v="1"/>
    <n v="10"/>
    <x v="0"/>
    <x v="1"/>
    <x v="1"/>
    <x v="0"/>
    <n v="20"/>
    <n v="10"/>
    <x v="2"/>
  </r>
  <r>
    <n v="3522"/>
    <s v="Bruno Almeida"/>
    <x v="1"/>
    <x v="290"/>
    <x v="0"/>
    <n v="5"/>
    <x v="2"/>
    <x v="1"/>
    <x v="1"/>
    <x v="1"/>
    <n v="0"/>
    <n v="0"/>
    <x v="1"/>
  </r>
  <r>
    <n v="3523"/>
    <s v="Carla Siqueira"/>
    <x v="0"/>
    <x v="291"/>
    <x v="1"/>
    <n v="15"/>
    <x v="0"/>
    <x v="0"/>
    <x v="0"/>
    <x v="0"/>
    <n v="20"/>
    <n v="3"/>
    <x v="3"/>
  </r>
  <r>
    <n v="3524"/>
    <s v="Diogo Ramos"/>
    <x v="2"/>
    <x v="292"/>
    <x v="0"/>
    <n v="10"/>
    <x v="1"/>
    <x v="1"/>
    <x v="1"/>
    <x v="0"/>
    <n v="20"/>
    <n v="15"/>
    <x v="7"/>
  </r>
  <r>
    <n v="3525"/>
    <s v="Elisa Magalhães"/>
    <x v="1"/>
    <x v="293"/>
    <x v="1"/>
    <n v="5"/>
    <x v="0"/>
    <x v="1"/>
    <x v="1"/>
    <x v="1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842DD-1F46-41C4-BC4B-18E64E950DBC}" name="Tabela dinâmica4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0">
  <location ref="B29:C31" firstHeaderRow="1" firstDataRow="1" firstDataCol="1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 sortType="ascending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h="1" x="1"/>
        <item x="0"/>
        <item t="default"/>
      </items>
    </pivotField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2">
    <i>
      <x v="1"/>
    </i>
    <i t="grand">
      <x/>
    </i>
  </rowItems>
  <colItems count="1">
    <i/>
  </colItems>
  <dataFields count="1">
    <dataField name="Soma de Total Value" fld="12" baseField="0" baseItem="0"/>
  </dataFields>
  <formats count="2">
    <format dxfId="2">
      <pivotArea outline="0" collapsedLevelsAreSubtotals="1" fieldPosition="0"/>
    </format>
    <format dxfId="3">
      <pivotArea dataOnly="0" labelOnly="1" outline="0" axis="axisValues" fieldPosition="0"/>
    </format>
  </formats>
  <chartFormats count="3">
    <chartFormat chart="44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F6B4B-AF32-4590-A876-46D845AB4BE2}" name="Tabela dinâmica3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0">
  <location ref="B23:C25" firstHeaderRow="1" firstDataRow="1" firstDataCol="1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 sortType="ascending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axis="axisRow" showAll="0">
      <items count="3">
        <item h="1"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2">
    <i>
      <x v="1"/>
    </i>
    <i t="grand">
      <x/>
    </i>
  </rowItems>
  <colItems count="1">
    <i/>
  </colItems>
  <dataFields count="1">
    <dataField name="Soma de Total Value" fld="12" baseField="0" baseItem="0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B0012-5F5D-4D3C-9DCE-E9DFC3EC820F}" name="Tabela dinâmica2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0">
  <location ref="B17:C20" firstHeaderRow="1" firstDataRow="1" firstDataCol="1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sortType="ascending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1">
    <chartFormat chart="49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D7F8D-DD19-4F95-AB6B-E3874ECBBCC9}" name="tbl_annual_total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B8:C12" firstHeaderRow="1" firstDataRow="1" firstDataCol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 sortType="ascending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formats count="1">
    <format dxfId="6">
      <pivotArea outline="0" collapsedLevelsAreSubtotals="1" fieldPosition="0"/>
    </format>
  </formats>
  <chartFormats count="8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0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9"/>
    <tableColumn id="2" xr3:uid="{53DD39D0-2220-4121-9E9D-4EAA7E151C0F}" name="Name" dataDxfId="18"/>
    <tableColumn id="3" xr3:uid="{4F5FF271-4C57-4BE0-8F2C-F82C8551625C}" name="Plan" dataDxfId="17"/>
    <tableColumn id="4" xr3:uid="{8C17EB93-79B9-4E55-B8F7-BEB82F8253E9}" name="Start Date" dataDxfId="16"/>
    <tableColumn id="5" xr3:uid="{48CEDF9B-1689-482A-A828-5CCE7713264A}" name="Auto Renewal" dataDxfId="15"/>
    <tableColumn id="6" xr3:uid="{78B82374-9AA7-4E38-AE4F-78CDE6C83720}" name="Subscription Price" dataDxfId="14" dataCellStyle="Moeda"/>
    <tableColumn id="7" xr3:uid="{F2433F68-AF33-49D0-B1FB-19A396074EDE}" name="Subscription Type" dataDxfId="13"/>
    <tableColumn id="8" xr3:uid="{FD4D9C95-F6E5-4933-9068-A71FF7DF9343}" name="EA Play Season Pass" dataDxfId="12"/>
    <tableColumn id="13" xr3:uid="{978DD0D2-834E-4CE4-A39B-30976086932F}" name="EA Play Season Pass_x000a_Price" dataDxfId="11" dataCellStyle="Moeda"/>
    <tableColumn id="9" xr3:uid="{6E29F111-C395-4580-9DAD-3407D9E8B1A4}" name="Minecraft Season Pass" dataDxfId="10"/>
    <tableColumn id="10" xr3:uid="{EF544EAA-7F25-4FD5-A10E-8E62804DB9E3}" name="Minecraft Season Pass Price" dataDxfId="9" dataCellStyle="Moeda"/>
    <tableColumn id="11" xr3:uid="{7F6EB64A-1F07-4E48-9F0F-AC7D9DCD26F8}" name="Coupon Value" dataDxfId="8" dataCellStyle="Moeda"/>
    <tableColumn id="12" xr3:uid="{2B04ABC8-DE6F-426E-ADC0-D8AFC68CA58E}" name="Total Value" dataDxfId="7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5" zoomScaleNormal="100" workbookViewId="0">
      <selection activeCell="E28" sqref="E28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28" sqref="E28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8:D31"/>
  <sheetViews>
    <sheetView showGridLines="0" topLeftCell="A12" workbookViewId="0">
      <selection activeCell="E28" sqref="E28"/>
    </sheetView>
  </sheetViews>
  <sheetFormatPr defaultRowHeight="14.25"/>
  <cols>
    <col min="2" max="2" width="18" bestFit="1" customWidth="1"/>
    <col min="3" max="3" width="19.125" bestFit="1" customWidth="1"/>
    <col min="4" max="4" width="21.75" bestFit="1" customWidth="1"/>
    <col min="5" max="6" width="12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8" spans="2:4">
      <c r="B8" s="12" t="s">
        <v>314</v>
      </c>
      <c r="C8" t="s">
        <v>313</v>
      </c>
    </row>
    <row r="9" spans="2:4">
      <c r="B9" s="13" t="s">
        <v>22</v>
      </c>
      <c r="C9" s="14">
        <v>444</v>
      </c>
    </row>
    <row r="10" spans="2:4">
      <c r="B10" s="13" t="s">
        <v>26</v>
      </c>
      <c r="C10" s="14">
        <v>1801</v>
      </c>
    </row>
    <row r="11" spans="2:4">
      <c r="B11" s="13" t="s">
        <v>18</v>
      </c>
      <c r="C11" s="14">
        <v>5388</v>
      </c>
    </row>
    <row r="12" spans="2:4">
      <c r="B12" s="13" t="s">
        <v>315</v>
      </c>
      <c r="C12" s="14">
        <v>7633</v>
      </c>
      <c r="D12" s="17">
        <f>GETPIVOTDATA("Total Value",$B$8)</f>
        <v>7633</v>
      </c>
    </row>
    <row r="17" spans="2:4">
      <c r="B17" s="12" t="s">
        <v>314</v>
      </c>
      <c r="C17" s="15" t="s">
        <v>313</v>
      </c>
    </row>
    <row r="18" spans="2:4">
      <c r="B18" s="13" t="s">
        <v>23</v>
      </c>
      <c r="C18" s="14">
        <v>3847</v>
      </c>
    </row>
    <row r="19" spans="2:4">
      <c r="B19" s="13" t="s">
        <v>19</v>
      </c>
      <c r="C19" s="14">
        <v>3786</v>
      </c>
    </row>
    <row r="20" spans="2:4">
      <c r="B20" s="13" t="s">
        <v>315</v>
      </c>
      <c r="C20" s="14">
        <v>7633</v>
      </c>
    </row>
    <row r="23" spans="2:4">
      <c r="B23" s="12" t="s">
        <v>314</v>
      </c>
      <c r="C23" s="15" t="s">
        <v>313</v>
      </c>
    </row>
    <row r="24" spans="2:4">
      <c r="B24" s="13" t="s">
        <v>19</v>
      </c>
      <c r="C24" s="14">
        <v>5388</v>
      </c>
      <c r="D24" s="18" t="s">
        <v>309</v>
      </c>
    </row>
    <row r="25" spans="2:4">
      <c r="B25" s="13" t="s">
        <v>315</v>
      </c>
      <c r="C25" s="14">
        <v>5388</v>
      </c>
      <c r="D25" s="17">
        <f>GETPIVOTDATA("Total Value",$B$23)</f>
        <v>5388</v>
      </c>
    </row>
    <row r="29" spans="2:4">
      <c r="B29" s="12" t="s">
        <v>314</v>
      </c>
      <c r="C29" s="15" t="s">
        <v>313</v>
      </c>
      <c r="D29" s="18" t="s">
        <v>30</v>
      </c>
    </row>
    <row r="30" spans="2:4">
      <c r="B30" s="13" t="s">
        <v>19</v>
      </c>
      <c r="C30" s="14">
        <v>7189</v>
      </c>
      <c r="D30" s="18"/>
    </row>
    <row r="31" spans="2:4">
      <c r="B31" s="13" t="s">
        <v>315</v>
      </c>
      <c r="C31" s="14">
        <v>7189</v>
      </c>
      <c r="D31" s="17">
        <f>GETPIVOTDATA("Total Value",$B$29)</f>
        <v>7189</v>
      </c>
    </row>
  </sheetData>
  <pageMargins left="0.511811024" right="0.511811024" top="0.78740157499999996" bottom="0.78740157499999996" header="0.31496062000000002" footer="0.31496062000000002"/>
  <pageSetup paperSize="9"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7"/>
  <sheetViews>
    <sheetView showGridLines="0" showRowColHeaders="0" tabSelected="1" topLeftCell="A5" zoomScale="77" zoomScaleNormal="77" workbookViewId="0">
      <selection activeCell="W37" sqref="W37"/>
    </sheetView>
  </sheetViews>
  <sheetFormatPr defaultRowHeight="14.25"/>
  <cols>
    <col min="1" max="1" width="20" style="4" customWidth="1"/>
    <col min="2" max="2" width="3.625" style="4" customWidth="1"/>
    <col min="3" max="11" width="9" style="4"/>
    <col min="12" max="12" width="6.625" style="4" customWidth="1"/>
    <col min="13" max="16384" width="9" style="4"/>
  </cols>
  <sheetData>
    <row r="2" spans="1:18" ht="39" customHeight="1">
      <c r="A2" s="16" t="s">
        <v>316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8.25" customHeight="1"/>
    <row r="4" spans="1:18" ht="7.5" customHeight="1"/>
    <row r="5" spans="1:18" ht="10.5" customHeight="1"/>
    <row r="6" spans="1:18" ht="9.75" customHeight="1"/>
    <row r="7" spans="1:18" ht="33" customHeight="1"/>
  </sheetData>
  <mergeCells count="1">
    <mergeCell ref="A2:R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atandison montes de souza</cp:lastModifiedBy>
  <dcterms:created xsi:type="dcterms:W3CDTF">2024-12-19T13:13:10Z</dcterms:created>
  <dcterms:modified xsi:type="dcterms:W3CDTF">2026-01-11T19:18:18Z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